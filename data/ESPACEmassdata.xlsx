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ceshot Components" sheetId="1" r:id="rId5"/>
    <sheet state="visible" name="Spaceshot Sizing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tc={00c9e337-b6bd-47dd-ac7e-99e942eb2612}</author>
    <author>tc={1b16f608-a736-42de-9247-fe5b2da35fa8}</author>
    <author>tc={2988766e-d712-4a73-9592-af5bd74af14a}</author>
    <author>tc={42149171-4f5e-467a-bceb-94875c5f4c16}</author>
    <author>tc={89904e18-d728-4f91-a5ea-0bd907228191}</author>
    <author>tc={998d7e2b-0028-4482-a888-9b8280cc7b2a}</author>
  </authors>
  <commentList>
    <comment authorId="0" xr:uid="{00c9e337-b6bd-47dd-ac7e-99e942eb2612}" ref="P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 of Bulkhead: 46.0421 cm from bottom
</t>
      </text>
    </comment>
    <comment authorId="1" xr:uid="{1b16f608-a736-42de-9247-fe5b2da35fa8}" ref="P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arbitrary distance because the rocket length is variable; only need relative distances between components
</t>
      </text>
    </comment>
    <comment authorId="2" xr:uid="{2988766e-d712-4a73-9592-af5bd74af14a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ungrouped because i hate fusion
</t>
      </text>
    </comment>
    <comment authorId="3" xr:uid="{42149171-4f5e-467a-bceb-94875c5f4c16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Full Height: 276.65 cm; 
Nosecone Height: 139.305 cm
</t>
      </text>
    </comment>
    <comment authorId="4" xr:uid="{89904e18-d728-4f91-a5ea-0bd907228191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 coord measured in diff models, not entirely accurate
</t>
      </text>
    </comment>
    <comment authorId="5" xr:uid="{998d7e2b-0028-4482-a888-9b8280cc7b2a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column for z-coord measured from tip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tc={25094878-a160-4ceb-8745-3d78f301e97b}</author>
    <author>tc={56f9d7a3-45b0-46bb-9626-d99f226e56a0}</author>
    <author>tc={6ed4e9a1-be79-4008-8289-57181e87230b}</author>
    <author>tc={88405a06-204f-4e69-9b5e-112c4c8d19c7}</author>
    <author>tc={a4d82578-7085-4e6e-a015-3939a2fd3bb6}</author>
    <author>tc={a556a5eb-5d97-4d1f-b907-19414d055417}</author>
    <author>tc={b52ddc9d-9b7d-47cb-8881-dca366024413}</author>
    <author>tc={c1e858f2-1259-4d0e-9143-c3b4bcbdeec7}</author>
    <author>tc={e8ae857a-2816-445c-b63b-bc1350cdcb5c}</author>
    <author>tc={ed6d7d5d-a9f8-4ef4-9bd6-9abc21f1cd1e}</author>
  </authors>
  <commentList>
    <comment authorId="0" xr:uid="{25094878-a160-4ceb-8745-3d78f301e97b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density derived from openrocket e3 model
</t>
      </text>
    </comment>
    <comment authorId="1" xr:uid="{56f9d7a3-45b0-46bb-9626-d99f226e56a0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awaiting density numbers to do
</t>
      </text>
    </comment>
    <comment authorId="2" xr:uid="{6ed4e9a1-be79-4008-8289-57181e87230b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using outer diameter i.e. volume of tank including thickness
</t>
      </text>
    </comment>
    <comment authorId="3" xr:uid="{88405a06-204f-4e69-9b5e-112c4c8d19c7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density from wikipedia
</t>
      </text>
    </comment>
    <comment authorId="4" xr:uid="{a4d82578-7085-4e6e-a015-3939a2fd3bb6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keeps increasing; makes sense, since to maintain % stability we must increase static margin, which increases caliber because we keep diameter constant
</t>
      </text>
    </comment>
    <comment authorId="5" xr:uid="{a556a5eb-5d97-4d1f-b907-19414d055417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units :(
</t>
      </text>
    </comment>
    <comment authorId="6" xr:uid="{b52ddc9d-9b7d-47cb-8881-dca366024413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density derived from e3
</t>
      </text>
    </comment>
    <comment authorId="7" xr:uid="{c1e858f2-1259-4d0e-9143-c3b4bcbdeec7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ease of calculation
</t>
      </text>
    </comment>
    <comment authorId="8" xr:uid="{e8ae857a-2816-445c-b63b-bc1350cdcb5c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calculated using outer diameter
</t>
      </text>
    </comment>
    <comment authorId="9" xr:uid="{ed6d7d5d-a9f8-4ef4-9bd6-9abc21f1cd1e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scaled --&gt; rounded to nearest tenth
</t>
      </text>
    </comment>
  </commentList>
</comments>
</file>

<file path=xl/sharedStrings.xml><?xml version="1.0" encoding="utf-8"?>
<sst xmlns="http://schemas.openxmlformats.org/spreadsheetml/2006/main" count="113" uniqueCount="74">
  <si>
    <t>COMPONENT</t>
  </si>
  <si>
    <t>Notes</t>
  </si>
  <si>
    <t>PROSPECT 2 (top) - "Prospect II - FULL ASSEMBLY" in Prospect II folder</t>
  </si>
  <si>
    <t>EUREKA 3 (bottom) - "ASSEM_Engine&amp;MVA v8" in Ablative V3 folder</t>
  </si>
  <si>
    <t>Mass (g)</t>
  </si>
  <si>
    <t>Moment of Inertia (wrt CG) (g cm^2)</t>
  </si>
  <si>
    <t>Center of Gravity (cm, cm, cm) RAW</t>
  </si>
  <si>
    <t>Center of Gravity (z cm from BOTTOM)</t>
  </si>
  <si>
    <t>Center of Gravity (z cm from nosecone TOP)</t>
  </si>
  <si>
    <t>Center of Gravity (z cm from Bulkhead CG)</t>
  </si>
  <si>
    <t>Pitch (I_xx)</t>
  </si>
  <si>
    <t>Yaw (I_yy)</t>
  </si>
  <si>
    <t>Roll (I_zz)</t>
  </si>
  <si>
    <t>Nosecone</t>
  </si>
  <si>
    <t>Nosecone (upper and lower)</t>
  </si>
  <si>
    <t>0.006, -0.113, 179.445</t>
  </si>
  <si>
    <t>Drogue Parachute</t>
  </si>
  <si>
    <t>Upper Eyebolt, Nosecone Tip, Drogue Parachute</t>
  </si>
  <si>
    <t>-1.038E-05, 8.324E-06, 95.742</t>
  </si>
  <si>
    <t>Main Parachute</t>
  </si>
  <si>
    <t>Main Subtube, Lower  Drogue Eyebolt, Main Eyebolt Nut, Drogue Eyebolt Nuts, Main Parachute, other screws, eyebolt spacers, Lower Eyebolt, Forward Coupler, "Black-Oxide" screws, Subtube retainer, "Partial THread"</t>
  </si>
  <si>
    <t>-0.196, 0.07, 40.11</t>
  </si>
  <si>
    <t>Avbay (w/ Coupler)</t>
  </si>
  <si>
    <r>
      <rPr>
        <rFont val="Arial"/>
        <color theme="1"/>
      </rPr>
      <t>Avbay Assembly, M6x16 bolts, Black Box, Aft Coupler (</t>
    </r>
    <r>
      <rPr>
        <rFont val="Arial"/>
        <color rgb="FFFF0000"/>
      </rPr>
      <t>without lower bolts and bolt ring</t>
    </r>
    <r>
      <rPr>
        <rFont val="Arial"/>
        <color theme="1"/>
      </rPr>
      <t>)</t>
    </r>
  </si>
  <si>
    <t>0.876, -0.365, 6.8</t>
  </si>
  <si>
    <t>Avbay (w/o Coupler)</t>
  </si>
  <si>
    <t>1.154, -0.47, 8.629</t>
  </si>
  <si>
    <t>Bulkhead</t>
  </si>
  <si>
    <t>Bulkhead Sleeve Bottom (BODY38 ONLY)</t>
  </si>
  <si>
    <t>-0.011, 0.203, 44.163</t>
  </si>
  <si>
    <t>IPA Poppet Valve</t>
  </si>
  <si>
    <t>IPA Poppet</t>
  </si>
  <si>
    <t>-4.153, 0, 36.932</t>
  </si>
  <si>
    <t>Nitrous Poppet Valve</t>
  </si>
  <si>
    <t>Nitrous Poppet</t>
  </si>
  <si>
    <t>5.432, 8.314, 43.044</t>
  </si>
  <si>
    <t>Other Valves</t>
  </si>
  <si>
    <t>Short Tail Amazons, High Presure Brass Pipe Fittings, Female smth</t>
  </si>
  <si>
    <t>-0.359, 0.585, 37.956</t>
  </si>
  <si>
    <t>Injector</t>
  </si>
  <si>
    <t>0.127, -0.014, 29.212</t>
  </si>
  <si>
    <t>Exterior</t>
  </si>
  <si>
    <t>CHAMBER:1</t>
  </si>
  <si>
    <t>0, 6.244E-10, 17.151</t>
  </si>
  <si>
    <t>Engine (w/ Fin Mounts)</t>
  </si>
  <si>
    <t>Nozzle Carrier, Phenolic Liner v7.5 NOT v7, Nozzle Extension, Retainng Ring, "Component2:1", Fin Mounts</t>
  </si>
  <si>
    <t>0, 7.712E-10, 14.729</t>
  </si>
  <si>
    <t>Engine (w/o Fin Mounts)</t>
  </si>
  <si>
    <t>0, 1.292E-09</t>
  </si>
  <si>
    <t>***This is a shortcut method; what we actually want to do is create an interpolator and tune it by selecting fins for damping ratio, but for time's sake we will select fins for percent stability</t>
  </si>
  <si>
    <t>Body Tube (NOS Tank + IPA Tank)</t>
  </si>
  <si>
    <t>Inner Tube (IPA Tank)</t>
  </si>
  <si>
    <t>Point mass - Outer Tube (NOS)</t>
  </si>
  <si>
    <t>Point mass - Inner Tube (IPA)</t>
  </si>
  <si>
    <t>Fin used</t>
  </si>
  <si>
    <t>Stability</t>
  </si>
  <si>
    <t>Inner Diameter (in)</t>
  </si>
  <si>
    <t>Outer Diameter (in)</t>
  </si>
  <si>
    <t>Length (ft)</t>
  </si>
  <si>
    <t>Volume (ft^3)</t>
  </si>
  <si>
    <t>1:4 Volume (ft^3)</t>
  </si>
  <si>
    <t>CG (Rel. Body top) (in)</t>
  </si>
  <si>
    <t>Shape</t>
  </si>
  <si>
    <t>Scale</t>
  </si>
  <si>
    <t>Root chord (cm)</t>
  </si>
  <si>
    <t>Tip chord (cm)</t>
  </si>
  <si>
    <t>Height (cm)</t>
  </si>
  <si>
    <t>Sweep length (cm)</t>
  </si>
  <si>
    <t>Sweep angle (deg)</t>
  </si>
  <si>
    <t>cal (~2)</t>
  </si>
  <si>
    <t>% (~12%)</t>
  </si>
  <si>
    <t>E3 Fins ------------------&gt;</t>
  </si>
  <si>
    <t>Trapezoidal</t>
  </si>
  <si>
    <t xml:space="preserve">&lt;--------------------------------- E3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</si>
</sst>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color rgb="FF4A86E8"/>
      <name val="Arial"/>
      <scheme val="minor"/>
    </font>
    <font>
      <color rgb="FFCC0000"/>
      <name val="Arial"/>
      <scheme val="minor"/>
    </font>
    <font>
      <color rgb="FF674EA7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0" fontId="2" numFmtId="11" xfId="0" applyAlignment="1" applyFont="1" applyNumberFormat="1">
      <alignment horizontal="center" readingOrder="0" shrinkToFit="0" vertical="center" wrapText="1"/>
    </xf>
    <xf borderId="0" fillId="10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9" fontId="2" numFmtId="0" xfId="0" applyAlignment="1" applyFont="1">
      <alignment horizontal="center" shrinkToFit="0" vertical="center" wrapText="1"/>
    </xf>
    <xf borderId="0" fillId="8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1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1" fontId="2" numFmtId="0" xfId="0" applyAlignment="1" applyFill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0" fillId="13" fontId="1" numFmtId="0" xfId="0" applyAlignment="1" applyFill="1" applyFont="1">
      <alignment horizontal="center" readingOrder="0" shrinkToFit="0" vertical="center" wrapText="1"/>
    </xf>
    <xf borderId="0" fillId="14" fontId="2" numFmtId="0" xfId="0" applyAlignment="1" applyFill="1" applyFont="1">
      <alignment horizontal="center" readingOrder="0" shrinkToFit="0" vertical="center" wrapText="1"/>
    </xf>
    <xf borderId="0" fillId="15" fontId="2" numFmtId="0" xfId="0" applyAlignment="1" applyFill="1" applyFont="1">
      <alignment horizontal="center" readingOrder="0" shrinkToFit="0" vertical="center" wrapText="1"/>
    </xf>
    <xf borderId="0" fillId="16" fontId="2" numFmtId="0" xfId="0" applyAlignment="1" applyFill="1" applyFont="1">
      <alignment horizontal="center" readingOrder="0" shrinkToFit="0" vertical="center" wrapText="1"/>
    </xf>
    <xf borderId="0" fillId="17" fontId="2" numFmtId="0" xfId="0" applyAlignment="1" applyFill="1" applyFont="1">
      <alignment horizontal="center" readingOrder="0" shrinkToFit="0" vertical="center" wrapText="1"/>
    </xf>
    <xf borderId="0" fillId="16" fontId="2" numFmtId="0" xfId="0" applyAlignment="1" applyFont="1">
      <alignment horizontal="center" shrinkToFit="0" vertical="center" wrapText="1"/>
    </xf>
    <xf borderId="0" fillId="18" fontId="4" numFmtId="0" xfId="0" applyAlignment="1" applyFill="1" applyFont="1">
      <alignment horizontal="center" readingOrder="0" shrinkToFit="0" vertical="center" wrapText="1"/>
    </xf>
    <xf borderId="0" fillId="18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628650</xdr:colOff>
      <xdr:row>0</xdr:row>
      <xdr:rowOff>123825</xdr:rowOff>
    </xdr:from>
    <xdr:ext cx="2438400" cy="5934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628650</xdr:colOff>
      <xdr:row>10</xdr:row>
      <xdr:rowOff>295275</xdr:rowOff>
    </xdr:from>
    <xdr:ext cx="1857375" cy="3571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shua Jiaxu Yan" id="{ab8e751b-6ee4-43b8-8b2d-0a2b9acdf4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6-05-22T19:37:25.00" personId="{ab8e751b-6ee4-43b8-8b2d-0a2b9acdf40d}" id="{42149171-4f5e-467a-bceb-94875c5f4c16}" done="0">
    <x18tc:text xml:space="preserve">Full Height: 276.65 cm; 
Nosecone Height: 139.305 cm</x18tc:text>
  </x18tc:threadedComment>
  <x18tc:threadedComment ref="P2" dT="2026-05-24T22:24:11.00" personId="{ab8e751b-6ee4-43b8-8b2d-0a2b9acdf40d}" id="{1b16f608-a736-42de-9247-fe5b2da35fa8}" done="1">
    <x18tc:text xml:space="preserve">arbitrary distance because the rocket length is variable; only need relative distances between components</x18tc:text>
  </x18tc:threadedComment>
  <x18tc:threadedComment ref="G2" dT="2026-05-22T02:28:11.00" personId="{ab8e751b-6ee4-43b8-8b2d-0a2b9acdf40d}" id="{998d7e2b-0028-4482-a888-9b8280cc7b2a}" done="1">
    <x18tc:text xml:space="preserve">+ column for z-coord measured from tip</x18tc:text>
  </x18tc:threadedComment>
  <x18tc:threadedComment ref="A11" dT="2026-05-24T22:21:32.00" personId="{ab8e751b-6ee4-43b8-8b2d-0a2b9acdf40d}" id="{2988766e-d712-4a73-9592-af5bd74af14a}" done="0">
    <x18tc:text xml:space="preserve">ungrouped because i hate fusion</x18tc:text>
  </x18tc:threadedComment>
  <x18tc:threadedComment ref="P2" dT="2026-05-24T22:38:09.00" personId="{ab8e751b-6ee4-43b8-8b2d-0a2b9acdf40d}" id="{00c9e337-b6bd-47dd-ac7e-99e942eb2612}" done="0">
    <x18tc:text xml:space="preserve">Top of Bulkhead: 46.0421 cm from bottom</x18tc:text>
  </x18tc:threadedComment>
  <x18tc:threadedComment ref="G2" dT="2026-05-22T19:38:53.00" personId="{ab8e751b-6ee4-43b8-8b2d-0a2b9acdf40d}" id="{89904e18-d728-4f91-a5ea-0bd907228191}" done="0">
    <x18tc:text xml:space="preserve">z coord measured in diff models, not entirely accurate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" dT="2026-06-13T08:45:23.00" personId="{ab8e751b-6ee4-43b8-8b2d-0a2b9acdf40d}" id="{25094878-a160-4ceb-8745-3d78f301e97b}" done="0">
    <x18tc:text xml:space="preserve">density derived from openrocket e3 model</x18tc:text>
  </x18tc:threadedComment>
  <x18tc:threadedComment ref="K3" dT="2026-06-13T08:42:57.00" personId="{ab8e751b-6ee4-43b8-8b2d-0a2b9acdf40d}" id="{88405a06-204f-4e69-9b5e-112c4c8d19c7}" done="0">
    <x18tc:text xml:space="preserve">density from wikipedia</x18tc:text>
  </x18tc:threadedComment>
  <x18tc:threadedComment ref="I3" dT="2026-06-13T08:43:09.00" personId="{ab8e751b-6ee4-43b8-8b2d-0a2b9acdf40d}" id="{b52ddc9d-9b7d-47cb-8881-dca366024413}" done="1">
    <x18tc:text xml:space="preserve">density derived from e3</x18tc:text>
  </x18tc:threadedComment>
  <x18tc:threadedComment ref="J3" dT="2026-06-13T06:57:03.00" personId="{ab8e751b-6ee4-43b8-8b2d-0a2b9acdf40d}" id="{a556a5eb-5d97-4d1f-b907-19414d055417}" done="1">
    <x18tc:text xml:space="preserve">units :(</x18tc:text>
  </x18tc:threadedComment>
  <x18tc:threadedComment ref="T3" dT="2026-06-04T00:45:22.00" personId="{ab8e751b-6ee4-43b8-8b2d-0a2b9acdf40d}" id="{a4d82578-7085-4e6e-a015-3939a2fd3bb6}" done="0">
    <x18tc:text xml:space="preserve">keeps increasing; makes sense, since to maintain % stability we must increase static margin, which increases caliber because we keep diameter constant</x18tc:text>
  </x18tc:threadedComment>
  <x18tc:threadedComment ref="H3" dT="2026-06-03T21:50:15.00" personId="{ab8e751b-6ee4-43b8-8b2d-0a2b9acdf40d}" id="{e8ae857a-2816-445c-b63b-bc1350cdcb5c}" done="1">
    <x18tc:text xml:space="preserve">calculated using outer diameter</x18tc:text>
  </x18tc:threadedComment>
  <x18tc:threadedComment ref="K3" dT="2026-06-13T06:34:11.00" personId="{ab8e751b-6ee4-43b8-8b2d-0a2b9acdf40d}" id="{56f9d7a3-45b0-46bb-9626-d99f226e56a0}" done="1">
    <x18tc:text xml:space="preserve">awaiting density numbers to do</x18tc:text>
  </x18tc:threadedComment>
  <x18tc:threadedComment ref="D3" dT="2026-06-04T00:16:11.00" personId="{ab8e751b-6ee4-43b8-8b2d-0a2b9acdf40d}" id="{6ed4e9a1-be79-4008-8289-57181e87230b}" done="0">
    <x18tc:text xml:space="preserve">using outer diameter i.e. volume of tank including thickness</x18tc:text>
  </x18tc:threadedComment>
  <x18tc:threadedComment ref="N3" dT="2026-06-03T21:59:18.00" personId="{ab8e751b-6ee4-43b8-8b2d-0a2b9acdf40d}" id="{c1e858f2-1259-4d0e-9143-c3b4bcbdeec7}" done="1">
    <x18tc:text xml:space="preserve">for ease of calculation</x18tc:text>
  </x18tc:threadedComment>
  <x18tc:threadedComment ref="M2" dT="2026-06-04T00:13:19.00" personId="{ab8e751b-6ee4-43b8-8b2d-0a2b9acdf40d}" id="{ed6d7d5d-a9f8-4ef4-9bd6-9abc21f1cd1e}" done="0">
    <x18tc:text xml:space="preserve">scaled --&gt; rounded to nearest tenth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0.88"/>
    <col customWidth="1" min="7" max="9" width="14.63"/>
    <col customWidth="1" min="11" max="13" width="10.88"/>
    <col customWidth="1" min="14" max="16" width="14.63"/>
    <col customWidth="1" min="17" max="17" width="89.38"/>
  </cols>
  <sheetData>
    <row r="1">
      <c r="A1" s="1" t="s">
        <v>0</v>
      </c>
      <c r="B1" s="2" t="s">
        <v>1</v>
      </c>
      <c r="C1" s="3" t="s">
        <v>2</v>
      </c>
      <c r="J1" s="4" t="s">
        <v>3</v>
      </c>
      <c r="Q1" s="5"/>
    </row>
    <row r="2">
      <c r="C2" s="6" t="s">
        <v>4</v>
      </c>
      <c r="D2" s="6" t="s">
        <v>5</v>
      </c>
      <c r="G2" s="6" t="s">
        <v>6</v>
      </c>
      <c r="H2" s="6" t="s">
        <v>7</v>
      </c>
      <c r="I2" s="6" t="s">
        <v>8</v>
      </c>
      <c r="J2" s="7" t="s">
        <v>4</v>
      </c>
      <c r="K2" s="7" t="s">
        <v>5</v>
      </c>
      <c r="N2" s="7" t="s">
        <v>6</v>
      </c>
      <c r="O2" s="7" t="s">
        <v>7</v>
      </c>
      <c r="P2" s="7" t="s">
        <v>9</v>
      </c>
      <c r="Q2" s="8"/>
    </row>
    <row r="3" ht="22.5" customHeight="1">
      <c r="D3" s="6" t="s">
        <v>10</v>
      </c>
      <c r="E3" s="6" t="s">
        <v>11</v>
      </c>
      <c r="F3" s="6" t="s">
        <v>12</v>
      </c>
      <c r="K3" s="7" t="s">
        <v>10</v>
      </c>
      <c r="L3" s="7" t="s">
        <v>11</v>
      </c>
      <c r="M3" s="7" t="s">
        <v>12</v>
      </c>
      <c r="Q3" s="8"/>
    </row>
    <row r="4">
      <c r="A4" s="9" t="s">
        <v>13</v>
      </c>
      <c r="B4" s="10" t="s">
        <v>14</v>
      </c>
      <c r="C4" s="8">
        <v>3982.172</v>
      </c>
      <c r="D4" s="11">
        <v>3682000.0</v>
      </c>
      <c r="E4" s="11">
        <v>3679000.0</v>
      </c>
      <c r="F4" s="11">
        <v>207700.0</v>
      </c>
      <c r="G4" s="8" t="s">
        <v>15</v>
      </c>
      <c r="H4" s="12">
        <v>179.445</v>
      </c>
      <c r="I4" s="12">
        <f t="shared" ref="I4:I8" si="1">276.65-H4</f>
        <v>97.205</v>
      </c>
      <c r="J4" s="13"/>
      <c r="K4" s="13"/>
      <c r="L4" s="13"/>
      <c r="M4" s="13"/>
      <c r="N4" s="13"/>
      <c r="O4" s="13"/>
      <c r="P4" s="13"/>
      <c r="Q4" s="14"/>
    </row>
    <row r="5">
      <c r="A5" s="9" t="s">
        <v>16</v>
      </c>
      <c r="B5" s="10" t="s">
        <v>17</v>
      </c>
      <c r="C5" s="8">
        <v>867.444</v>
      </c>
      <c r="D5" s="11">
        <v>681500.0</v>
      </c>
      <c r="E5" s="11">
        <v>681500.0</v>
      </c>
      <c r="F5" s="8">
        <v>4426.61</v>
      </c>
      <c r="G5" s="8" t="s">
        <v>18</v>
      </c>
      <c r="H5" s="12">
        <v>233.087</v>
      </c>
      <c r="I5" s="12">
        <f t="shared" si="1"/>
        <v>43.563</v>
      </c>
      <c r="J5" s="13"/>
      <c r="K5" s="13"/>
      <c r="L5" s="13"/>
      <c r="M5" s="13"/>
      <c r="N5" s="13"/>
      <c r="O5" s="13"/>
      <c r="P5" s="13"/>
      <c r="Q5" s="14"/>
    </row>
    <row r="6">
      <c r="A6" s="9" t="s">
        <v>19</v>
      </c>
      <c r="B6" s="10" t="s">
        <v>20</v>
      </c>
      <c r="C6" s="8">
        <v>1862.037</v>
      </c>
      <c r="D6" s="11">
        <v>132400.0</v>
      </c>
      <c r="E6" s="11">
        <v>134000.0</v>
      </c>
      <c r="F6" s="8">
        <v>43585.268</v>
      </c>
      <c r="G6" s="8" t="s">
        <v>21</v>
      </c>
      <c r="H6" s="12">
        <v>177.455</v>
      </c>
      <c r="I6" s="12">
        <f t="shared" si="1"/>
        <v>99.195</v>
      </c>
      <c r="J6" s="13"/>
      <c r="K6" s="13"/>
      <c r="L6" s="13"/>
      <c r="M6" s="13"/>
      <c r="N6" s="13"/>
      <c r="O6" s="13"/>
      <c r="P6" s="13"/>
      <c r="Q6" s="14"/>
    </row>
    <row r="7">
      <c r="A7" s="9" t="s">
        <v>22</v>
      </c>
      <c r="B7" s="10" t="s">
        <v>23</v>
      </c>
      <c r="C7" s="8">
        <v>1472.254</v>
      </c>
      <c r="D7" s="11">
        <v>125700.0</v>
      </c>
      <c r="E7" s="11">
        <v>127600.0</v>
      </c>
      <c r="F7" s="8">
        <v>53334.585</v>
      </c>
      <c r="G7" s="8" t="s">
        <v>24</v>
      </c>
      <c r="H7" s="12">
        <v>144.145</v>
      </c>
      <c r="I7" s="12">
        <f t="shared" si="1"/>
        <v>132.505</v>
      </c>
      <c r="J7" s="13"/>
      <c r="K7" s="13"/>
      <c r="L7" s="13"/>
      <c r="M7" s="13"/>
      <c r="N7" s="13"/>
      <c r="O7" s="13"/>
      <c r="P7" s="13"/>
      <c r="Q7" s="14"/>
    </row>
    <row r="8">
      <c r="A8" s="9" t="s">
        <v>25</v>
      </c>
      <c r="B8" s="15"/>
      <c r="C8" s="8">
        <v>1110.471</v>
      </c>
      <c r="D8" s="8">
        <v>89995.452</v>
      </c>
      <c r="E8" s="8">
        <v>91500.88</v>
      </c>
      <c r="F8" s="8">
        <v>21394.214</v>
      </c>
      <c r="G8" s="8" t="s">
        <v>26</v>
      </c>
      <c r="H8" s="12">
        <v>145.974</v>
      </c>
      <c r="I8" s="12">
        <f t="shared" si="1"/>
        <v>130.676</v>
      </c>
      <c r="J8" s="13"/>
      <c r="K8" s="13"/>
      <c r="L8" s="13"/>
      <c r="M8" s="13"/>
      <c r="N8" s="13"/>
      <c r="O8" s="13"/>
      <c r="P8" s="13"/>
      <c r="Q8" s="14"/>
    </row>
    <row r="9">
      <c r="A9" s="16"/>
      <c r="B9" s="15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</row>
    <row r="10">
      <c r="A10" s="9" t="s">
        <v>27</v>
      </c>
      <c r="B10" s="10" t="s">
        <v>28</v>
      </c>
      <c r="C10" s="17"/>
      <c r="D10" s="13"/>
      <c r="E10" s="13"/>
      <c r="F10" s="13"/>
      <c r="G10" s="13"/>
      <c r="H10" s="13"/>
      <c r="I10" s="13"/>
      <c r="J10" s="8">
        <v>569.874</v>
      </c>
      <c r="K10" s="8">
        <v>13628.317</v>
      </c>
      <c r="L10" s="8">
        <v>14326.027</v>
      </c>
      <c r="M10" s="8">
        <v>26569.957</v>
      </c>
      <c r="N10" s="8" t="s">
        <v>29</v>
      </c>
      <c r="O10" s="8">
        <v>44.163</v>
      </c>
      <c r="P10" s="14">
        <f t="shared" ref="P10:P17" si="2">46.0421-O10</f>
        <v>1.8791</v>
      </c>
      <c r="Q10" s="14"/>
    </row>
    <row r="11">
      <c r="A11" s="9" t="s">
        <v>30</v>
      </c>
      <c r="B11" s="10" t="s">
        <v>31</v>
      </c>
      <c r="C11" s="13"/>
      <c r="D11" s="13"/>
      <c r="E11" s="13"/>
      <c r="F11" s="13"/>
      <c r="G11" s="13"/>
      <c r="H11" s="13"/>
      <c r="I11" s="13"/>
      <c r="J11" s="8">
        <v>374.404</v>
      </c>
      <c r="K11" s="8">
        <v>5204.431</v>
      </c>
      <c r="L11" s="8">
        <v>5204.432</v>
      </c>
      <c r="M11" s="8">
        <v>638.538</v>
      </c>
      <c r="N11" s="8" t="s">
        <v>32</v>
      </c>
      <c r="O11" s="8">
        <v>36.932</v>
      </c>
      <c r="P11" s="14">
        <f t="shared" si="2"/>
        <v>9.1101</v>
      </c>
      <c r="Q11" s="14"/>
    </row>
    <row r="12">
      <c r="A12" s="9" t="s">
        <v>33</v>
      </c>
      <c r="B12" s="10" t="s">
        <v>34</v>
      </c>
      <c r="C12" s="13"/>
      <c r="D12" s="13"/>
      <c r="E12" s="13"/>
      <c r="F12" s="13"/>
      <c r="G12" s="13"/>
      <c r="H12" s="13"/>
      <c r="I12" s="13"/>
      <c r="J12" s="8">
        <v>1495.596</v>
      </c>
      <c r="K12" s="11">
        <v>416400.0</v>
      </c>
      <c r="L12" s="11">
        <v>208000.0</v>
      </c>
      <c r="M12" s="11">
        <v>214700.0</v>
      </c>
      <c r="N12" s="8" t="s">
        <v>35</v>
      </c>
      <c r="O12" s="8">
        <v>43.044</v>
      </c>
      <c r="P12" s="14">
        <f t="shared" si="2"/>
        <v>2.9981</v>
      </c>
      <c r="Q12" s="14"/>
    </row>
    <row r="13">
      <c r="A13" s="18" t="s">
        <v>36</v>
      </c>
      <c r="B13" s="19" t="s">
        <v>37</v>
      </c>
      <c r="C13" s="20"/>
      <c r="D13" s="20"/>
      <c r="E13" s="20"/>
      <c r="F13" s="20"/>
      <c r="G13" s="20"/>
      <c r="H13" s="20"/>
      <c r="I13" s="20"/>
      <c r="J13" s="21">
        <v>487.114</v>
      </c>
      <c r="K13" s="22">
        <v>13063.764</v>
      </c>
      <c r="L13" s="22">
        <v>7762.048</v>
      </c>
      <c r="M13" s="22">
        <v>13936.545</v>
      </c>
      <c r="N13" s="21" t="s">
        <v>38</v>
      </c>
      <c r="O13" s="21">
        <v>37.956</v>
      </c>
      <c r="P13" s="14">
        <f t="shared" si="2"/>
        <v>8.0861</v>
      </c>
      <c r="Q13" s="23"/>
    </row>
    <row r="14">
      <c r="A14" s="9" t="s">
        <v>39</v>
      </c>
      <c r="B14" s="10" t="s">
        <v>39</v>
      </c>
      <c r="C14" s="13"/>
      <c r="D14" s="13"/>
      <c r="E14" s="13"/>
      <c r="F14" s="13"/>
      <c r="G14" s="13"/>
      <c r="H14" s="13"/>
      <c r="I14" s="13"/>
      <c r="J14" s="8">
        <v>5389.35</v>
      </c>
      <c r="K14" s="8">
        <v>95764.276</v>
      </c>
      <c r="L14" s="11">
        <v>96800.842</v>
      </c>
      <c r="M14" s="11">
        <v>145500.0</v>
      </c>
      <c r="N14" s="8" t="s">
        <v>40</v>
      </c>
      <c r="O14" s="8">
        <v>29.212</v>
      </c>
      <c r="P14" s="14">
        <f t="shared" si="2"/>
        <v>16.8301</v>
      </c>
      <c r="Q14" s="14"/>
    </row>
    <row r="15">
      <c r="A15" s="9" t="s">
        <v>41</v>
      </c>
      <c r="B15" s="10" t="s">
        <v>42</v>
      </c>
      <c r="C15" s="13"/>
      <c r="D15" s="13"/>
      <c r="E15" s="13"/>
      <c r="F15" s="13"/>
      <c r="G15" s="13"/>
      <c r="H15" s="13"/>
      <c r="I15" s="13"/>
      <c r="J15" s="8">
        <v>7906.469</v>
      </c>
      <c r="K15" s="11">
        <v>1005000.0</v>
      </c>
      <c r="L15" s="11">
        <v>1005000.0</v>
      </c>
      <c r="M15" s="11">
        <v>422600.0</v>
      </c>
      <c r="N15" s="8" t="s">
        <v>43</v>
      </c>
      <c r="O15" s="8">
        <v>17.151</v>
      </c>
      <c r="P15" s="14">
        <f t="shared" si="2"/>
        <v>28.8911</v>
      </c>
      <c r="Q15" s="14"/>
    </row>
    <row r="16">
      <c r="A16" s="9" t="s">
        <v>44</v>
      </c>
      <c r="B16" s="10" t="s">
        <v>45</v>
      </c>
      <c r="C16" s="13"/>
      <c r="D16" s="13"/>
      <c r="E16" s="13"/>
      <c r="F16" s="13"/>
      <c r="G16" s="13"/>
      <c r="H16" s="13"/>
      <c r="I16" s="13"/>
      <c r="J16" s="8">
        <v>26011.07</v>
      </c>
      <c r="K16" s="11">
        <v>3801000.0</v>
      </c>
      <c r="L16" s="11">
        <v>3801000.0</v>
      </c>
      <c r="M16" s="11">
        <v>1214000.0</v>
      </c>
      <c r="N16" s="8" t="s">
        <v>46</v>
      </c>
      <c r="O16" s="8">
        <v>14.729</v>
      </c>
      <c r="P16" s="14">
        <f t="shared" si="2"/>
        <v>31.3131</v>
      </c>
      <c r="Q16" s="14"/>
    </row>
    <row r="17">
      <c r="A17" s="9" t="s">
        <v>47</v>
      </c>
      <c r="B17" s="10"/>
      <c r="C17" s="13"/>
      <c r="D17" s="13"/>
      <c r="E17" s="13"/>
      <c r="F17" s="13"/>
      <c r="G17" s="13"/>
      <c r="H17" s="13"/>
      <c r="I17" s="13"/>
      <c r="J17" s="8">
        <v>15524.486</v>
      </c>
      <c r="K17" s="11">
        <v>1120000.0</v>
      </c>
      <c r="L17" s="11">
        <v>1120000.0</v>
      </c>
      <c r="M17" s="11">
        <v>537500.0</v>
      </c>
      <c r="N17" s="8" t="s">
        <v>48</v>
      </c>
      <c r="O17" s="8">
        <v>10.46</v>
      </c>
      <c r="P17" s="14">
        <f t="shared" si="2"/>
        <v>35.5821</v>
      </c>
      <c r="Q17" s="14"/>
    </row>
    <row r="18">
      <c r="A18" s="16"/>
      <c r="B18" s="1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>
      <c r="A19" s="16"/>
      <c r="B19" s="1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>
      <c r="A20" s="16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>
      <c r="A21" s="16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>
      <c r="A22" s="16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>
      <c r="A23" s="16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>
      <c r="A24" s="16"/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>
      <c r="A25" s="16"/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>
      <c r="A26" s="16"/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>
      <c r="A27" s="16"/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>
      <c r="A28" s="16"/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>
      <c r="A29" s="16"/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>
      <c r="A30" s="16"/>
      <c r="B30" s="1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>
      <c r="A31" s="16"/>
      <c r="B31" s="1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>
      <c r="A32" s="16"/>
      <c r="B32" s="1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6"/>
      <c r="B33" s="1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6"/>
      <c r="B34" s="1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6"/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>
      <c r="A36" s="16"/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6"/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>
      <c r="A38" s="16"/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>
      <c r="A39" s="16"/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>
      <c r="A40" s="16"/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6"/>
      <c r="B41" s="1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>
      <c r="A42" s="16"/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>
      <c r="A43" s="16"/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>
      <c r="A44" s="16"/>
      <c r="B44" s="1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16"/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>
      <c r="A46" s="16"/>
      <c r="B46" s="1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>
      <c r="A47" s="16"/>
      <c r="B47" s="1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>
      <c r="A48" s="16"/>
      <c r="B48" s="1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6"/>
      <c r="B49" s="1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>
      <c r="A50" s="16"/>
      <c r="B50" s="1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>
      <c r="A51" s="16"/>
      <c r="B51" s="1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>
      <c r="A52" s="16"/>
      <c r="B52" s="1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>
      <c r="A53" s="16"/>
      <c r="B53" s="1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>
      <c r="A54" s="16"/>
      <c r="B54" s="1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>
      <c r="A55" s="16"/>
      <c r="B55" s="1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>
      <c r="A56" s="16"/>
      <c r="B56" s="1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>
      <c r="A57" s="16"/>
      <c r="B57" s="1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>
      <c r="A58" s="16"/>
      <c r="B58" s="1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>
      <c r="A59" s="16"/>
      <c r="B59" s="1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>
      <c r="A60" s="16"/>
      <c r="B60" s="1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>
      <c r="A61" s="16"/>
      <c r="B61" s="1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>
      <c r="A62" s="16"/>
      <c r="B62" s="1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>
      <c r="A63" s="16"/>
      <c r="B63" s="1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>
      <c r="A64" s="16"/>
      <c r="B64" s="1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>
      <c r="A65" s="16"/>
      <c r="B65" s="1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>
      <c r="A66" s="16"/>
      <c r="B66" s="1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>
      <c r="A67" s="16"/>
      <c r="B67" s="1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>
      <c r="A68" s="16"/>
      <c r="B68" s="1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>
      <c r="A69" s="16"/>
      <c r="B69" s="1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>
      <c r="A70" s="16"/>
      <c r="B70" s="1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>
      <c r="A71" s="16"/>
      <c r="B71" s="1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>
      <c r="A72" s="16"/>
      <c r="B72" s="1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>
      <c r="A73" s="16"/>
      <c r="B73" s="1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>
      <c r="A74" s="16"/>
      <c r="B74" s="1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>
      <c r="A75" s="16"/>
      <c r="B75" s="1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>
      <c r="A76" s="16"/>
      <c r="B76" s="1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>
      <c r="A77" s="16"/>
      <c r="B77" s="1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>
      <c r="A78" s="16"/>
      <c r="B78" s="1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>
      <c r="A79" s="16"/>
      <c r="B79" s="1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>
      <c r="A80" s="16"/>
      <c r="B80" s="1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16"/>
      <c r="B81" s="1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>
      <c r="A82" s="16"/>
      <c r="B82" s="1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>
      <c r="A83" s="16"/>
      <c r="B83" s="1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>
      <c r="A84" s="16"/>
      <c r="B84" s="1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>
      <c r="A85" s="16"/>
      <c r="B85" s="1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>
      <c r="A86" s="16"/>
      <c r="B86" s="1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>
      <c r="A87" s="16"/>
      <c r="B87" s="1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>
      <c r="A88" s="16"/>
      <c r="B88" s="1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>
      <c r="A89" s="16"/>
      <c r="B89" s="1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>
      <c r="A90" s="16"/>
      <c r="B90" s="1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16"/>
      <c r="B91" s="1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>
      <c r="A92" s="16"/>
      <c r="B92" s="1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>
      <c r="A93" s="16"/>
      <c r="B93" s="1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>
      <c r="A94" s="16"/>
      <c r="B94" s="1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>
      <c r="A95" s="16"/>
      <c r="B95" s="1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>
      <c r="A96" s="16"/>
      <c r="B96" s="1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>
      <c r="A97" s="16"/>
      <c r="B97" s="1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>
      <c r="A98" s="16"/>
      <c r="B98" s="1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>
      <c r="A99" s="16"/>
      <c r="B99" s="1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16"/>
      <c r="B100" s="1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>
      <c r="A101" s="16"/>
      <c r="B101" s="1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>
      <c r="A102" s="16"/>
      <c r="B102" s="1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>
      <c r="A103" s="16"/>
      <c r="B103" s="1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>
      <c r="A104" s="16"/>
      <c r="B104" s="1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>
      <c r="A105" s="16"/>
      <c r="B105" s="1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>
      <c r="A106" s="16"/>
      <c r="B106" s="1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>
      <c r="A107" s="16"/>
      <c r="B107" s="1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>
      <c r="A108" s="16"/>
      <c r="B108" s="1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>
      <c r="A109" s="16"/>
      <c r="B109" s="1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>
      <c r="A110" s="16"/>
      <c r="B110" s="1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>
      <c r="A111" s="16"/>
      <c r="B111" s="1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>
      <c r="A112" s="16"/>
      <c r="B112" s="1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>
      <c r="A113" s="16"/>
      <c r="B113" s="1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>
      <c r="A114" s="16"/>
      <c r="B114" s="1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>
      <c r="A115" s="16"/>
      <c r="B115" s="1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>
      <c r="A116" s="16"/>
      <c r="B116" s="1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>
      <c r="A117" s="16"/>
      <c r="B117" s="1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>
      <c r="A118" s="16"/>
      <c r="B118" s="1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>
      <c r="A119" s="16"/>
      <c r="B119" s="1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>
      <c r="A120" s="16"/>
      <c r="B120" s="1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>
      <c r="A121" s="16"/>
      <c r="B121" s="1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>
      <c r="A122" s="16"/>
      <c r="B122" s="1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>
      <c r="A123" s="16"/>
      <c r="B123" s="1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>
      <c r="A124" s="16"/>
      <c r="B124" s="1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>
      <c r="A125" s="16"/>
      <c r="B125" s="1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16"/>
      <c r="B126" s="1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>
      <c r="A127" s="16"/>
      <c r="B127" s="1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>
      <c r="A128" s="16"/>
      <c r="B128" s="1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>
      <c r="A129" s="16"/>
      <c r="B129" s="1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16"/>
      <c r="B130" s="1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>
      <c r="A131" s="16"/>
      <c r="B131" s="1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>
      <c r="A132" s="16"/>
      <c r="B132" s="1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>
      <c r="A133" s="16"/>
      <c r="B133" s="1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>
      <c r="A134" s="16"/>
      <c r="B134" s="1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>
      <c r="A135" s="16"/>
      <c r="B135" s="1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>
      <c r="A136" s="16"/>
      <c r="B136" s="1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>
      <c r="A137" s="16"/>
      <c r="B137" s="1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>
      <c r="A138" s="16"/>
      <c r="B138" s="1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16"/>
      <c r="B139" s="1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>
      <c r="A140" s="16"/>
      <c r="B140" s="1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>
      <c r="A141" s="16"/>
      <c r="B141" s="1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>
      <c r="A142" s="16"/>
      <c r="B142" s="1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>
      <c r="A143" s="16"/>
      <c r="B143" s="1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>
      <c r="A144" s="16"/>
      <c r="B144" s="1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A145" s="16"/>
      <c r="B145" s="1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>
      <c r="A146" s="16"/>
      <c r="B146" s="1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>
      <c r="A147" s="16"/>
      <c r="B147" s="1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>
      <c r="A148" s="16"/>
      <c r="B148" s="1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>
      <c r="A149" s="16"/>
      <c r="B149" s="1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>
      <c r="A150" s="16"/>
      <c r="B150" s="1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>
      <c r="A151" s="16"/>
      <c r="B151" s="1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>
      <c r="A152" s="16"/>
      <c r="B152" s="1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>
      <c r="A153" s="16"/>
      <c r="B153" s="1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>
      <c r="A154" s="16"/>
      <c r="B154" s="1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>
      <c r="A155" s="16"/>
      <c r="B155" s="1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>
      <c r="A156" s="16"/>
      <c r="B156" s="1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>
      <c r="A157" s="16"/>
      <c r="B157" s="1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>
      <c r="A158" s="16"/>
      <c r="B158" s="1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>
      <c r="A159" s="16"/>
      <c r="B159" s="1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>
      <c r="A160" s="16"/>
      <c r="B160" s="1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>
      <c r="A161" s="16"/>
      <c r="B161" s="1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>
      <c r="A162" s="16"/>
      <c r="B162" s="1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>
      <c r="A163" s="16"/>
      <c r="B163" s="1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>
      <c r="A164" s="16"/>
      <c r="B164" s="1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>
      <c r="A165" s="16"/>
      <c r="B165" s="1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>
      <c r="A166" s="16"/>
      <c r="B166" s="1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>
      <c r="A167" s="16"/>
      <c r="B167" s="1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>
      <c r="A168" s="16"/>
      <c r="B168" s="1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>
      <c r="A169" s="16"/>
      <c r="B169" s="1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>
      <c r="A170" s="16"/>
      <c r="B170" s="1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>
      <c r="A171" s="16"/>
      <c r="B171" s="1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>
      <c r="A172" s="16"/>
      <c r="B172" s="1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>
      <c r="A173" s="16"/>
      <c r="B173" s="1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>
      <c r="A174" s="16"/>
      <c r="B174" s="1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>
      <c r="A175" s="16"/>
      <c r="B175" s="1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>
      <c r="A176" s="16"/>
      <c r="B176" s="1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>
      <c r="A177" s="16"/>
      <c r="B177" s="1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>
      <c r="A178" s="16"/>
      <c r="B178" s="1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>
      <c r="A179" s="16"/>
      <c r="B179" s="1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>
      <c r="A180" s="16"/>
      <c r="B180" s="1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>
      <c r="A181" s="16"/>
      <c r="B181" s="1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>
      <c r="A182" s="16"/>
      <c r="B182" s="1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>
      <c r="A183" s="16"/>
      <c r="B183" s="1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>
      <c r="A184" s="16"/>
      <c r="B184" s="1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>
      <c r="A185" s="16"/>
      <c r="B185" s="1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>
      <c r="A186" s="16"/>
      <c r="B186" s="1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>
      <c r="A187" s="16"/>
      <c r="B187" s="1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>
      <c r="A188" s="16"/>
      <c r="B188" s="1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</row>
    <row r="189">
      <c r="A189" s="16"/>
      <c r="B189" s="1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</row>
    <row r="190">
      <c r="A190" s="16"/>
      <c r="B190" s="1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>
      <c r="A191" s="16"/>
      <c r="B191" s="1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>
      <c r="A192" s="16"/>
      <c r="B192" s="1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>
      <c r="A193" s="16"/>
      <c r="B193" s="1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>
      <c r="A194" s="16"/>
      <c r="B194" s="1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>
      <c r="A195" s="16"/>
      <c r="B195" s="1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>
      <c r="A196" s="16"/>
      <c r="B196" s="1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>
      <c r="A197" s="16"/>
      <c r="B197" s="1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>
      <c r="A198" s="16"/>
      <c r="B198" s="1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>
      <c r="A199" s="16"/>
      <c r="B199" s="1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>
      <c r="A200" s="16"/>
      <c r="B200" s="1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>
      <c r="A201" s="16"/>
      <c r="B201" s="1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>
      <c r="A202" s="16"/>
      <c r="B202" s="1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>
      <c r="A203" s="16"/>
      <c r="B203" s="1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>
      <c r="A204" s="16"/>
      <c r="B204" s="1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>
      <c r="A205" s="16"/>
      <c r="B205" s="1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>
      <c r="A206" s="16"/>
      <c r="B206" s="1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>
      <c r="A207" s="16"/>
      <c r="B207" s="1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8">
      <c r="A208" s="16"/>
      <c r="B208" s="1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</row>
    <row r="209">
      <c r="A209" s="16"/>
      <c r="B209" s="1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>
      <c r="A210" s="16"/>
      <c r="B210" s="1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</row>
    <row r="211">
      <c r="A211" s="16"/>
      <c r="B211" s="1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</row>
    <row r="212">
      <c r="A212" s="16"/>
      <c r="B212" s="1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>
      <c r="A213" s="16"/>
      <c r="B213" s="1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</row>
    <row r="214">
      <c r="A214" s="16"/>
      <c r="B214" s="1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>
      <c r="A215" s="16"/>
      <c r="B215" s="1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>
      <c r="A216" s="16"/>
      <c r="B216" s="1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</row>
    <row r="217">
      <c r="A217" s="16"/>
      <c r="B217" s="1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</row>
    <row r="218">
      <c r="A218" s="16"/>
      <c r="B218" s="1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>
      <c r="A219" s="16"/>
      <c r="B219" s="1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>
      <c r="A220" s="16"/>
      <c r="B220" s="1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</row>
    <row r="221">
      <c r="A221" s="16"/>
      <c r="B221" s="15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</row>
    <row r="222">
      <c r="A222" s="16"/>
      <c r="B222" s="15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</row>
    <row r="223">
      <c r="A223" s="16"/>
      <c r="B223" s="15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</row>
    <row r="224">
      <c r="A224" s="16"/>
      <c r="B224" s="15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</row>
    <row r="225">
      <c r="A225" s="16"/>
      <c r="B225" s="15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</row>
    <row r="226">
      <c r="A226" s="16"/>
      <c r="B226" s="15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</row>
    <row r="227">
      <c r="A227" s="16"/>
      <c r="B227" s="15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>
      <c r="A228" s="16"/>
      <c r="B228" s="15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</row>
    <row r="229">
      <c r="A229" s="16"/>
      <c r="B229" s="15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</row>
    <row r="230">
      <c r="A230" s="16"/>
      <c r="B230" s="15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</row>
    <row r="231">
      <c r="A231" s="16"/>
      <c r="B231" s="15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>
      <c r="A232" s="16"/>
      <c r="B232" s="15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</row>
    <row r="233">
      <c r="A233" s="16"/>
      <c r="B233" s="15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</row>
    <row r="234">
      <c r="A234" s="16"/>
      <c r="B234" s="15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</row>
    <row r="235">
      <c r="A235" s="16"/>
      <c r="B235" s="15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>
      <c r="A236" s="16"/>
      <c r="B236" s="15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</row>
    <row r="237">
      <c r="A237" s="16"/>
      <c r="B237" s="15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</row>
    <row r="238">
      <c r="A238" s="16"/>
      <c r="B238" s="15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</row>
    <row r="239">
      <c r="A239" s="16"/>
      <c r="B239" s="15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>
      <c r="A240" s="16"/>
      <c r="B240" s="15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</row>
    <row r="241">
      <c r="A241" s="16"/>
      <c r="B241" s="15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</row>
    <row r="242">
      <c r="A242" s="16"/>
      <c r="B242" s="15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</row>
    <row r="243">
      <c r="A243" s="16"/>
      <c r="B243" s="15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</row>
    <row r="244">
      <c r="A244" s="16"/>
      <c r="B244" s="15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>
      <c r="A245" s="16"/>
      <c r="B245" s="15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>
      <c r="A246" s="16"/>
      <c r="B246" s="15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</row>
    <row r="247">
      <c r="A247" s="16"/>
      <c r="B247" s="15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</row>
    <row r="248">
      <c r="A248" s="16"/>
      <c r="B248" s="15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>
      <c r="A249" s="16"/>
      <c r="B249" s="15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</row>
    <row r="250">
      <c r="A250" s="16"/>
      <c r="B250" s="15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</row>
    <row r="251">
      <c r="A251" s="16"/>
      <c r="B251" s="15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</row>
    <row r="252">
      <c r="A252" s="16"/>
      <c r="B252" s="15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</row>
    <row r="253">
      <c r="A253" s="16"/>
      <c r="B253" s="15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  <row r="254">
      <c r="A254" s="16"/>
      <c r="B254" s="15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</row>
    <row r="255">
      <c r="A255" s="16"/>
      <c r="B255" s="15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</row>
    <row r="256">
      <c r="A256" s="16"/>
      <c r="B256" s="15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</row>
    <row r="257">
      <c r="A257" s="16"/>
      <c r="B257" s="15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</row>
    <row r="258">
      <c r="A258" s="16"/>
      <c r="B258" s="15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</row>
    <row r="259">
      <c r="A259" s="16"/>
      <c r="B259" s="15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</row>
    <row r="260">
      <c r="A260" s="16"/>
      <c r="B260" s="15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>
      <c r="A261" s="16"/>
      <c r="B261" s="15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</row>
    <row r="262">
      <c r="A262" s="16"/>
      <c r="B262" s="15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</row>
    <row r="263">
      <c r="A263" s="16"/>
      <c r="B263" s="15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</row>
    <row r="264">
      <c r="A264" s="16"/>
      <c r="B264" s="15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</row>
    <row r="265">
      <c r="A265" s="16"/>
      <c r="B265" s="15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</row>
    <row r="266">
      <c r="A266" s="16"/>
      <c r="B266" s="15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</row>
    <row r="267">
      <c r="A267" s="16"/>
      <c r="B267" s="15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</row>
    <row r="268">
      <c r="A268" s="16"/>
      <c r="B268" s="15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</row>
    <row r="269">
      <c r="A269" s="16"/>
      <c r="B269" s="15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</row>
    <row r="270">
      <c r="A270" s="16"/>
      <c r="B270" s="15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</row>
    <row r="271">
      <c r="A271" s="16"/>
      <c r="B271" s="15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</row>
    <row r="272">
      <c r="A272" s="16"/>
      <c r="B272" s="15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>
      <c r="A273" s="16"/>
      <c r="B273" s="15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</row>
    <row r="274">
      <c r="A274" s="16"/>
      <c r="B274" s="15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</row>
    <row r="275">
      <c r="A275" s="16"/>
      <c r="B275" s="15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</row>
    <row r="276">
      <c r="A276" s="16"/>
      <c r="B276" s="15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</row>
    <row r="277">
      <c r="A277" s="16"/>
      <c r="B277" s="1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</row>
    <row r="278">
      <c r="A278" s="16"/>
      <c r="B278" s="15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</row>
    <row r="279">
      <c r="A279" s="16"/>
      <c r="B279" s="15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</row>
    <row r="280">
      <c r="A280" s="16"/>
      <c r="B280" s="15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</row>
    <row r="281">
      <c r="A281" s="16"/>
      <c r="B281" s="15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</row>
    <row r="282">
      <c r="A282" s="16"/>
      <c r="B282" s="15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</row>
    <row r="283">
      <c r="A283" s="16"/>
      <c r="B283" s="15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</row>
    <row r="284">
      <c r="A284" s="16"/>
      <c r="B284" s="15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</row>
    <row r="285">
      <c r="A285" s="16"/>
      <c r="B285" s="15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</row>
    <row r="286">
      <c r="A286" s="16"/>
      <c r="B286" s="15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>
      <c r="A287" s="16"/>
      <c r="B287" s="15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</row>
    <row r="288">
      <c r="A288" s="16"/>
      <c r="B288" s="15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</row>
    <row r="289">
      <c r="A289" s="16"/>
      <c r="B289" s="15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</row>
    <row r="290">
      <c r="A290" s="16"/>
      <c r="B290" s="15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</row>
    <row r="291">
      <c r="A291" s="16"/>
      <c r="B291" s="15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</row>
    <row r="292">
      <c r="A292" s="16"/>
      <c r="B292" s="15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</row>
    <row r="293">
      <c r="A293" s="16"/>
      <c r="B293" s="15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</row>
    <row r="294">
      <c r="A294" s="16"/>
      <c r="B294" s="15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</row>
    <row r="295">
      <c r="A295" s="16"/>
      <c r="B295" s="15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</row>
    <row r="296">
      <c r="A296" s="16"/>
      <c r="B296" s="15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>
      <c r="A297" s="16"/>
      <c r="B297" s="15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</row>
    <row r="298">
      <c r="A298" s="16"/>
      <c r="B298" s="15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</row>
    <row r="299">
      <c r="A299" s="16"/>
      <c r="B299" s="15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</row>
    <row r="300">
      <c r="A300" s="16"/>
      <c r="B300" s="15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</row>
    <row r="301">
      <c r="A301" s="16"/>
      <c r="B301" s="15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</row>
    <row r="302">
      <c r="A302" s="16"/>
      <c r="B302" s="15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</row>
    <row r="303">
      <c r="A303" s="16"/>
      <c r="B303" s="15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</row>
    <row r="304">
      <c r="A304" s="16"/>
      <c r="B304" s="15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</row>
    <row r="305">
      <c r="A305" s="16"/>
      <c r="B305" s="15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</row>
    <row r="306">
      <c r="A306" s="16"/>
      <c r="B306" s="15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</row>
    <row r="307">
      <c r="A307" s="16"/>
      <c r="B307" s="15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</row>
    <row r="308">
      <c r="A308" s="16"/>
      <c r="B308" s="15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</row>
    <row r="309">
      <c r="A309" s="16"/>
      <c r="B309" s="15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</row>
    <row r="310">
      <c r="A310" s="16"/>
      <c r="B310" s="15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</row>
    <row r="311">
      <c r="A311" s="16"/>
      <c r="B311" s="15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</row>
    <row r="312">
      <c r="A312" s="16"/>
      <c r="B312" s="15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>
      <c r="A313" s="16"/>
      <c r="B313" s="15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>
      <c r="A314" s="16"/>
      <c r="B314" s="15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</row>
    <row r="315">
      <c r="A315" s="16"/>
      <c r="B315" s="15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</row>
    <row r="316">
      <c r="A316" s="16"/>
      <c r="B316" s="15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</row>
    <row r="317">
      <c r="A317" s="16"/>
      <c r="B317" s="15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>
      <c r="A318" s="16"/>
      <c r="B318" s="15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</row>
    <row r="319">
      <c r="A319" s="16"/>
      <c r="B319" s="15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</row>
    <row r="320">
      <c r="A320" s="16"/>
      <c r="B320" s="15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</row>
    <row r="321">
      <c r="A321" s="16"/>
      <c r="B321" s="15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</row>
    <row r="322">
      <c r="A322" s="16"/>
      <c r="B322" s="15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</row>
    <row r="323">
      <c r="A323" s="16"/>
      <c r="B323" s="15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</row>
    <row r="324">
      <c r="A324" s="16"/>
      <c r="B324" s="15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</row>
    <row r="325">
      <c r="A325" s="16"/>
      <c r="B325" s="15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</row>
    <row r="326">
      <c r="A326" s="16"/>
      <c r="B326" s="15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</row>
    <row r="327">
      <c r="A327" s="16"/>
      <c r="B327" s="15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</row>
    <row r="328">
      <c r="A328" s="16"/>
      <c r="B328" s="15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</row>
    <row r="329">
      <c r="A329" s="16"/>
      <c r="B329" s="15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</row>
    <row r="330">
      <c r="A330" s="16"/>
      <c r="B330" s="15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</row>
    <row r="331">
      <c r="A331" s="16"/>
      <c r="B331" s="15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</row>
    <row r="332">
      <c r="A332" s="16"/>
      <c r="B332" s="15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</row>
    <row r="333">
      <c r="A333" s="16"/>
      <c r="B333" s="15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</row>
    <row r="334">
      <c r="A334" s="16"/>
      <c r="B334" s="15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</row>
    <row r="335">
      <c r="A335" s="16"/>
      <c r="B335" s="15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</row>
    <row r="336">
      <c r="A336" s="16"/>
      <c r="B336" s="15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</row>
    <row r="337">
      <c r="A337" s="16"/>
      <c r="B337" s="15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</row>
    <row r="338">
      <c r="A338" s="16"/>
      <c r="B338" s="15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</row>
    <row r="339">
      <c r="A339" s="16"/>
      <c r="B339" s="15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</row>
    <row r="340">
      <c r="A340" s="16"/>
      <c r="B340" s="15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</row>
    <row r="341">
      <c r="A341" s="16"/>
      <c r="B341" s="15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</row>
    <row r="342">
      <c r="A342" s="16"/>
      <c r="B342" s="15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</row>
    <row r="343">
      <c r="A343" s="16"/>
      <c r="B343" s="15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</row>
    <row r="344">
      <c r="A344" s="16"/>
      <c r="B344" s="15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</row>
    <row r="345">
      <c r="A345" s="16"/>
      <c r="B345" s="15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</row>
    <row r="346">
      <c r="A346" s="16"/>
      <c r="B346" s="15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</row>
    <row r="347">
      <c r="A347" s="16"/>
      <c r="B347" s="15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</row>
    <row r="348">
      <c r="A348" s="16"/>
      <c r="B348" s="15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</row>
    <row r="349">
      <c r="A349" s="16"/>
      <c r="B349" s="15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</row>
    <row r="350">
      <c r="A350" s="16"/>
      <c r="B350" s="15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</row>
    <row r="351">
      <c r="A351" s="16"/>
      <c r="B351" s="15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</row>
    <row r="352">
      <c r="A352" s="16"/>
      <c r="B352" s="15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</row>
    <row r="353">
      <c r="A353" s="16"/>
      <c r="B353" s="15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</row>
    <row r="354">
      <c r="A354" s="16"/>
      <c r="B354" s="15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</row>
    <row r="355">
      <c r="A355" s="16"/>
      <c r="B355" s="15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</row>
    <row r="356">
      <c r="A356" s="16"/>
      <c r="B356" s="15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</row>
    <row r="357">
      <c r="A357" s="16"/>
      <c r="B357" s="15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</row>
    <row r="358">
      <c r="A358" s="16"/>
      <c r="B358" s="15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</row>
    <row r="359">
      <c r="A359" s="16"/>
      <c r="B359" s="15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</row>
    <row r="360">
      <c r="A360" s="16"/>
      <c r="B360" s="15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</row>
    <row r="361">
      <c r="A361" s="16"/>
      <c r="B361" s="15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</row>
    <row r="362">
      <c r="A362" s="16"/>
      <c r="B362" s="15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</row>
    <row r="363">
      <c r="A363" s="16"/>
      <c r="B363" s="15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</row>
    <row r="364">
      <c r="A364" s="16"/>
      <c r="B364" s="15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</row>
    <row r="365">
      <c r="A365" s="16"/>
      <c r="B365" s="15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</row>
    <row r="366">
      <c r="A366" s="16"/>
      <c r="B366" s="15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</row>
    <row r="367">
      <c r="A367" s="16"/>
      <c r="B367" s="15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</row>
    <row r="368">
      <c r="A368" s="16"/>
      <c r="B368" s="15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</row>
    <row r="369">
      <c r="A369" s="16"/>
      <c r="B369" s="15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</row>
    <row r="370">
      <c r="A370" s="16"/>
      <c r="B370" s="15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</row>
    <row r="371">
      <c r="A371" s="16"/>
      <c r="B371" s="15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</row>
    <row r="372">
      <c r="A372" s="16"/>
      <c r="B372" s="15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</row>
    <row r="373">
      <c r="A373" s="16"/>
      <c r="B373" s="15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</row>
    <row r="374">
      <c r="A374" s="16"/>
      <c r="B374" s="15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>
      <c r="A375" s="16"/>
      <c r="B375" s="15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</row>
    <row r="376">
      <c r="A376" s="16"/>
      <c r="B376" s="15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</row>
    <row r="377">
      <c r="A377" s="16"/>
      <c r="B377" s="15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</row>
    <row r="378">
      <c r="A378" s="16"/>
      <c r="B378" s="15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</row>
    <row r="379">
      <c r="A379" s="16"/>
      <c r="B379" s="15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</row>
    <row r="380">
      <c r="A380" s="16"/>
      <c r="B380" s="15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</row>
    <row r="381">
      <c r="A381" s="16"/>
      <c r="B381" s="15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</row>
    <row r="382">
      <c r="A382" s="16"/>
      <c r="B382" s="15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</row>
    <row r="383">
      <c r="A383" s="16"/>
      <c r="B383" s="15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</row>
    <row r="384">
      <c r="A384" s="16"/>
      <c r="B384" s="15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</row>
    <row r="385">
      <c r="A385" s="16"/>
      <c r="B385" s="15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</row>
    <row r="386">
      <c r="A386" s="16"/>
      <c r="B386" s="15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</row>
    <row r="387">
      <c r="A387" s="16"/>
      <c r="B387" s="15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</row>
    <row r="388">
      <c r="A388" s="16"/>
      <c r="B388" s="15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</row>
    <row r="389">
      <c r="A389" s="16"/>
      <c r="B389" s="15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</row>
    <row r="390">
      <c r="A390" s="16"/>
      <c r="B390" s="15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</row>
    <row r="391">
      <c r="A391" s="16"/>
      <c r="B391" s="15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</row>
    <row r="392">
      <c r="A392" s="16"/>
      <c r="B392" s="15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</row>
    <row r="393">
      <c r="A393" s="16"/>
      <c r="B393" s="15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</row>
    <row r="394">
      <c r="A394" s="16"/>
      <c r="B394" s="15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</row>
    <row r="395">
      <c r="A395" s="16"/>
      <c r="B395" s="15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</row>
    <row r="396">
      <c r="A396" s="16"/>
      <c r="B396" s="15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</row>
    <row r="397">
      <c r="A397" s="16"/>
      <c r="B397" s="15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</row>
    <row r="398">
      <c r="A398" s="16"/>
      <c r="B398" s="15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</row>
    <row r="399">
      <c r="A399" s="16"/>
      <c r="B399" s="15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</row>
    <row r="400">
      <c r="A400" s="16"/>
      <c r="B400" s="15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</row>
    <row r="401">
      <c r="A401" s="16"/>
      <c r="B401" s="15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</row>
    <row r="402">
      <c r="A402" s="16"/>
      <c r="B402" s="15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</row>
    <row r="403">
      <c r="A403" s="16"/>
      <c r="B403" s="15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</row>
    <row r="404">
      <c r="A404" s="16"/>
      <c r="B404" s="15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</row>
    <row r="405">
      <c r="A405" s="16"/>
      <c r="B405" s="15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</row>
    <row r="406">
      <c r="A406" s="16"/>
      <c r="B406" s="15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</row>
    <row r="407">
      <c r="A407" s="16"/>
      <c r="B407" s="15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</row>
    <row r="408">
      <c r="A408" s="16"/>
      <c r="B408" s="15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</row>
    <row r="409">
      <c r="A409" s="16"/>
      <c r="B409" s="15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</row>
    <row r="410">
      <c r="A410" s="16"/>
      <c r="B410" s="15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</row>
    <row r="411">
      <c r="A411" s="16"/>
      <c r="B411" s="15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</row>
    <row r="412">
      <c r="A412" s="16"/>
      <c r="B412" s="15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</row>
    <row r="413">
      <c r="A413" s="16"/>
      <c r="B413" s="15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  <row r="414">
      <c r="A414" s="16"/>
      <c r="B414" s="15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</row>
    <row r="415">
      <c r="A415" s="16"/>
      <c r="B415" s="15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</row>
    <row r="416">
      <c r="A416" s="16"/>
      <c r="B416" s="15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</row>
    <row r="417">
      <c r="A417" s="16"/>
      <c r="B417" s="15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</row>
    <row r="418">
      <c r="A418" s="16"/>
      <c r="B418" s="15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</row>
    <row r="419">
      <c r="A419" s="16"/>
      <c r="B419" s="15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</row>
    <row r="420">
      <c r="A420" s="16"/>
      <c r="B420" s="15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>
      <c r="A421" s="16"/>
      <c r="B421" s="15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</row>
    <row r="422">
      <c r="A422" s="16"/>
      <c r="B422" s="15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</row>
    <row r="423">
      <c r="A423" s="16"/>
      <c r="B423" s="15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</row>
    <row r="424">
      <c r="A424" s="16"/>
      <c r="B424" s="15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</row>
    <row r="425">
      <c r="A425" s="16"/>
      <c r="B425" s="15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</row>
    <row r="426">
      <c r="A426" s="16"/>
      <c r="B426" s="15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</row>
    <row r="427">
      <c r="A427" s="16"/>
      <c r="B427" s="15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</row>
    <row r="428">
      <c r="A428" s="16"/>
      <c r="B428" s="15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</row>
    <row r="429">
      <c r="A429" s="16"/>
      <c r="B429" s="15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</row>
    <row r="430">
      <c r="A430" s="16"/>
      <c r="B430" s="15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</row>
    <row r="431">
      <c r="A431" s="16"/>
      <c r="B431" s="15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</row>
    <row r="432">
      <c r="A432" s="16"/>
      <c r="B432" s="15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</row>
    <row r="433">
      <c r="A433" s="16"/>
      <c r="B433" s="15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</row>
    <row r="434">
      <c r="A434" s="16"/>
      <c r="B434" s="15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</row>
    <row r="435">
      <c r="A435" s="16"/>
      <c r="B435" s="15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</row>
    <row r="436">
      <c r="A436" s="16"/>
      <c r="B436" s="15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</row>
    <row r="437">
      <c r="A437" s="16"/>
      <c r="B437" s="15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</row>
    <row r="438">
      <c r="A438" s="16"/>
      <c r="B438" s="15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</row>
    <row r="439">
      <c r="A439" s="16"/>
      <c r="B439" s="15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</row>
    <row r="440">
      <c r="A440" s="16"/>
      <c r="B440" s="15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</row>
    <row r="441">
      <c r="A441" s="16"/>
      <c r="B441" s="15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</row>
    <row r="442">
      <c r="A442" s="16"/>
      <c r="B442" s="15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</row>
    <row r="443">
      <c r="A443" s="16"/>
      <c r="B443" s="15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</row>
    <row r="444">
      <c r="A444" s="16"/>
      <c r="B444" s="15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</row>
    <row r="445">
      <c r="A445" s="16"/>
      <c r="B445" s="15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</row>
    <row r="446">
      <c r="A446" s="16"/>
      <c r="B446" s="15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>
      <c r="A447" s="16"/>
      <c r="B447" s="15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</row>
    <row r="448">
      <c r="A448" s="16"/>
      <c r="B448" s="15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</row>
    <row r="449">
      <c r="A449" s="16"/>
      <c r="B449" s="15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</row>
    <row r="450">
      <c r="A450" s="16"/>
      <c r="B450" s="15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</row>
    <row r="451">
      <c r="A451" s="16"/>
      <c r="B451" s="15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</row>
    <row r="452">
      <c r="A452" s="16"/>
      <c r="B452" s="15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</row>
    <row r="453">
      <c r="A453" s="16"/>
      <c r="B453" s="15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>
      <c r="A454" s="16"/>
      <c r="B454" s="15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</row>
    <row r="455">
      <c r="A455" s="16"/>
      <c r="B455" s="15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</row>
    <row r="456">
      <c r="A456" s="16"/>
      <c r="B456" s="15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</row>
    <row r="457">
      <c r="A457" s="16"/>
      <c r="B457" s="15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</row>
    <row r="458">
      <c r="A458" s="16"/>
      <c r="B458" s="15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</row>
    <row r="459">
      <c r="A459" s="16"/>
      <c r="B459" s="15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</row>
    <row r="460">
      <c r="A460" s="16"/>
      <c r="B460" s="15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</row>
    <row r="461">
      <c r="A461" s="16"/>
      <c r="B461" s="15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>
      <c r="A462" s="16"/>
      <c r="B462" s="15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</row>
    <row r="463">
      <c r="A463" s="16"/>
      <c r="B463" s="15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</row>
    <row r="464">
      <c r="A464" s="16"/>
      <c r="B464" s="15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</row>
    <row r="465">
      <c r="A465" s="16"/>
      <c r="B465" s="15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</row>
    <row r="466">
      <c r="A466" s="16"/>
      <c r="B466" s="15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</row>
    <row r="467">
      <c r="A467" s="16"/>
      <c r="B467" s="15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</row>
    <row r="468">
      <c r="A468" s="16"/>
      <c r="B468" s="15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</row>
    <row r="469">
      <c r="A469" s="16"/>
      <c r="B469" s="15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</row>
    <row r="470">
      <c r="A470" s="16"/>
      <c r="B470" s="15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</row>
    <row r="471">
      <c r="A471" s="16"/>
      <c r="B471" s="15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</row>
    <row r="472">
      <c r="A472" s="16"/>
      <c r="B472" s="15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</row>
    <row r="473">
      <c r="A473" s="16"/>
      <c r="B473" s="15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</row>
    <row r="474">
      <c r="A474" s="16"/>
      <c r="B474" s="15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</row>
    <row r="475">
      <c r="A475" s="16"/>
      <c r="B475" s="15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</row>
    <row r="476">
      <c r="A476" s="16"/>
      <c r="B476" s="15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</row>
    <row r="477">
      <c r="A477" s="16"/>
      <c r="B477" s="15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</row>
    <row r="478">
      <c r="A478" s="16"/>
      <c r="B478" s="15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</row>
    <row r="479">
      <c r="A479" s="16"/>
      <c r="B479" s="15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</row>
    <row r="480">
      <c r="A480" s="16"/>
      <c r="B480" s="15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</row>
    <row r="481">
      <c r="A481" s="16"/>
      <c r="B481" s="15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</row>
    <row r="482">
      <c r="A482" s="16"/>
      <c r="B482" s="15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</row>
    <row r="483">
      <c r="A483" s="16"/>
      <c r="B483" s="15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</row>
    <row r="484">
      <c r="A484" s="16"/>
      <c r="B484" s="15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</row>
    <row r="485">
      <c r="A485" s="16"/>
      <c r="B485" s="15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</row>
    <row r="486">
      <c r="A486" s="16"/>
      <c r="B486" s="15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</row>
    <row r="487">
      <c r="A487" s="16"/>
      <c r="B487" s="15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</row>
    <row r="488">
      <c r="A488" s="16"/>
      <c r="B488" s="15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</row>
    <row r="489">
      <c r="A489" s="16"/>
      <c r="B489" s="15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</row>
    <row r="490">
      <c r="A490" s="16"/>
      <c r="B490" s="15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>
      <c r="A491" s="16"/>
      <c r="B491" s="15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</row>
    <row r="492">
      <c r="A492" s="16"/>
      <c r="B492" s="15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</row>
    <row r="493">
      <c r="A493" s="16"/>
      <c r="B493" s="15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</row>
    <row r="494">
      <c r="A494" s="16"/>
      <c r="B494" s="15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</row>
    <row r="495">
      <c r="A495" s="16"/>
      <c r="B495" s="15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</row>
    <row r="496">
      <c r="A496" s="16"/>
      <c r="B496" s="15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</row>
    <row r="497">
      <c r="A497" s="16"/>
      <c r="B497" s="15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</row>
    <row r="498">
      <c r="A498" s="16"/>
      <c r="B498" s="15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</row>
    <row r="499">
      <c r="A499" s="16"/>
      <c r="B499" s="15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</row>
    <row r="500">
      <c r="A500" s="16"/>
      <c r="B500" s="15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</row>
    <row r="501">
      <c r="A501" s="16"/>
      <c r="B501" s="15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</row>
    <row r="502">
      <c r="A502" s="16"/>
      <c r="B502" s="15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</row>
    <row r="503">
      <c r="A503" s="16"/>
      <c r="B503" s="15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</row>
    <row r="504">
      <c r="A504" s="16"/>
      <c r="B504" s="15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</row>
    <row r="505">
      <c r="A505" s="16"/>
      <c r="B505" s="15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</row>
    <row r="506">
      <c r="A506" s="16"/>
      <c r="B506" s="15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</row>
    <row r="507">
      <c r="A507" s="16"/>
      <c r="B507" s="15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</row>
    <row r="508">
      <c r="A508" s="16"/>
      <c r="B508" s="15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</row>
    <row r="509">
      <c r="A509" s="16"/>
      <c r="B509" s="15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</row>
    <row r="510">
      <c r="A510" s="16"/>
      <c r="B510" s="15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</row>
    <row r="511">
      <c r="A511" s="16"/>
      <c r="B511" s="15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</row>
    <row r="512">
      <c r="A512" s="16"/>
      <c r="B512" s="15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>
      <c r="A513" s="16"/>
      <c r="B513" s="15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</row>
    <row r="514">
      <c r="A514" s="16"/>
      <c r="B514" s="15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</row>
    <row r="515">
      <c r="A515" s="16"/>
      <c r="B515" s="15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</row>
    <row r="516">
      <c r="A516" s="16"/>
      <c r="B516" s="15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</row>
    <row r="517">
      <c r="A517" s="16"/>
      <c r="B517" s="15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</row>
    <row r="518">
      <c r="A518" s="16"/>
      <c r="B518" s="15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</row>
    <row r="519">
      <c r="A519" s="16"/>
      <c r="B519" s="15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</row>
    <row r="520">
      <c r="A520" s="16"/>
      <c r="B520" s="15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</row>
    <row r="521">
      <c r="A521" s="16"/>
      <c r="B521" s="15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</row>
    <row r="522">
      <c r="A522" s="16"/>
      <c r="B522" s="15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</row>
    <row r="523">
      <c r="A523" s="16"/>
      <c r="B523" s="15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</row>
    <row r="524">
      <c r="A524" s="16"/>
      <c r="B524" s="15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</row>
    <row r="525">
      <c r="A525" s="16"/>
      <c r="B525" s="15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</row>
    <row r="526">
      <c r="A526" s="16"/>
      <c r="B526" s="15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</row>
    <row r="527">
      <c r="A527" s="16"/>
      <c r="B527" s="15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</row>
    <row r="528">
      <c r="A528" s="16"/>
      <c r="B528" s="15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</row>
    <row r="529">
      <c r="A529" s="16"/>
      <c r="B529" s="15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</row>
    <row r="530">
      <c r="A530" s="16"/>
      <c r="B530" s="15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</row>
    <row r="531">
      <c r="A531" s="16"/>
      <c r="B531" s="15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</row>
    <row r="532">
      <c r="A532" s="16"/>
      <c r="B532" s="15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>
      <c r="A533" s="16"/>
      <c r="B533" s="15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</row>
    <row r="534">
      <c r="A534" s="16"/>
      <c r="B534" s="15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</row>
    <row r="535">
      <c r="A535" s="16"/>
      <c r="B535" s="15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</row>
    <row r="536">
      <c r="A536" s="16"/>
      <c r="B536" s="15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</row>
    <row r="537">
      <c r="A537" s="16"/>
      <c r="B537" s="15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</row>
    <row r="538">
      <c r="A538" s="16"/>
      <c r="B538" s="15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</row>
    <row r="539">
      <c r="A539" s="16"/>
      <c r="B539" s="15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</row>
    <row r="540">
      <c r="A540" s="16"/>
      <c r="B540" s="15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</row>
    <row r="541">
      <c r="A541" s="16"/>
      <c r="B541" s="15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</row>
    <row r="542">
      <c r="A542" s="16"/>
      <c r="B542" s="15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</row>
    <row r="543">
      <c r="A543" s="16"/>
      <c r="B543" s="15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</row>
    <row r="544">
      <c r="A544" s="16"/>
      <c r="B544" s="15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</row>
    <row r="545">
      <c r="A545" s="16"/>
      <c r="B545" s="15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</row>
    <row r="546">
      <c r="A546" s="16"/>
      <c r="B546" s="15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</row>
    <row r="547">
      <c r="A547" s="16"/>
      <c r="B547" s="15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</row>
    <row r="548">
      <c r="A548" s="16"/>
      <c r="B548" s="15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</row>
    <row r="549">
      <c r="A549" s="16"/>
      <c r="B549" s="15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</row>
    <row r="550">
      <c r="A550" s="16"/>
      <c r="B550" s="15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>
      <c r="A551" s="16"/>
      <c r="B551" s="15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</row>
    <row r="552">
      <c r="A552" s="16"/>
      <c r="B552" s="15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</row>
    <row r="553">
      <c r="A553" s="16"/>
      <c r="B553" s="15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</row>
    <row r="554">
      <c r="A554" s="16"/>
      <c r="B554" s="15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</row>
    <row r="555">
      <c r="A555" s="16"/>
      <c r="B555" s="15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</row>
    <row r="556">
      <c r="A556" s="16"/>
      <c r="B556" s="15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</row>
    <row r="557">
      <c r="A557" s="16"/>
      <c r="B557" s="15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</row>
    <row r="558">
      <c r="A558" s="16"/>
      <c r="B558" s="15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</row>
    <row r="559">
      <c r="A559" s="16"/>
      <c r="B559" s="15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</row>
    <row r="560">
      <c r="A560" s="16"/>
      <c r="B560" s="15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</row>
    <row r="561">
      <c r="A561" s="16"/>
      <c r="B561" s="15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</row>
    <row r="562">
      <c r="A562" s="16"/>
      <c r="B562" s="15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</row>
    <row r="563">
      <c r="A563" s="16"/>
      <c r="B563" s="15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</row>
    <row r="564">
      <c r="A564" s="16"/>
      <c r="B564" s="15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</row>
    <row r="565">
      <c r="A565" s="16"/>
      <c r="B565" s="15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</row>
    <row r="566">
      <c r="A566" s="16"/>
      <c r="B566" s="15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</row>
    <row r="567">
      <c r="A567" s="16"/>
      <c r="B567" s="15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</row>
    <row r="568">
      <c r="A568" s="16"/>
      <c r="B568" s="15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</row>
    <row r="569">
      <c r="A569" s="16"/>
      <c r="B569" s="15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</row>
    <row r="570">
      <c r="A570" s="16"/>
      <c r="B570" s="15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</row>
    <row r="571">
      <c r="A571" s="16"/>
      <c r="B571" s="15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</row>
    <row r="572">
      <c r="A572" s="16"/>
      <c r="B572" s="15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</row>
    <row r="573">
      <c r="A573" s="16"/>
      <c r="B573" s="15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</row>
    <row r="574">
      <c r="A574" s="16"/>
      <c r="B574" s="15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</row>
    <row r="575">
      <c r="A575" s="16"/>
      <c r="B575" s="15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</row>
    <row r="576">
      <c r="A576" s="16"/>
      <c r="B576" s="15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</row>
    <row r="577">
      <c r="A577" s="16"/>
      <c r="B577" s="15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</row>
    <row r="578">
      <c r="A578" s="16"/>
      <c r="B578" s="15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>
      <c r="A579" s="16"/>
      <c r="B579" s="15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</row>
    <row r="580">
      <c r="A580" s="16"/>
      <c r="B580" s="15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</row>
    <row r="581">
      <c r="A581" s="16"/>
      <c r="B581" s="15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</row>
    <row r="582">
      <c r="A582" s="16"/>
      <c r="B582" s="15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</row>
    <row r="583">
      <c r="A583" s="16"/>
      <c r="B583" s="15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</row>
    <row r="584">
      <c r="A584" s="16"/>
      <c r="B584" s="15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</row>
    <row r="585">
      <c r="A585" s="16"/>
      <c r="B585" s="15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</row>
    <row r="586">
      <c r="A586" s="16"/>
      <c r="B586" s="15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</row>
    <row r="587">
      <c r="A587" s="16"/>
      <c r="B587" s="15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</row>
    <row r="588">
      <c r="A588" s="16"/>
      <c r="B588" s="15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</row>
    <row r="589">
      <c r="A589" s="16"/>
      <c r="B589" s="15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</row>
    <row r="590">
      <c r="A590" s="16"/>
      <c r="B590" s="15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</row>
    <row r="591">
      <c r="A591" s="16"/>
      <c r="B591" s="15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</row>
    <row r="592">
      <c r="A592" s="16"/>
      <c r="B592" s="15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</row>
    <row r="593">
      <c r="A593" s="16"/>
      <c r="B593" s="15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</row>
    <row r="594">
      <c r="A594" s="16"/>
      <c r="B594" s="15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</row>
    <row r="595">
      <c r="A595" s="16"/>
      <c r="B595" s="15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>
      <c r="A596" s="16"/>
      <c r="B596" s="15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</row>
    <row r="597">
      <c r="A597" s="16"/>
      <c r="B597" s="15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</row>
    <row r="598">
      <c r="A598" s="16"/>
      <c r="B598" s="15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</row>
    <row r="599">
      <c r="A599" s="16"/>
      <c r="B599" s="15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</row>
    <row r="600">
      <c r="A600" s="16"/>
      <c r="B600" s="15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</row>
    <row r="601">
      <c r="A601" s="16"/>
      <c r="B601" s="15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</row>
    <row r="602">
      <c r="A602" s="16"/>
      <c r="B602" s="15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</row>
    <row r="603">
      <c r="A603" s="16"/>
      <c r="B603" s="15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</row>
    <row r="604">
      <c r="A604" s="16"/>
      <c r="B604" s="15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</row>
    <row r="605">
      <c r="A605" s="16"/>
      <c r="B605" s="15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</row>
    <row r="606">
      <c r="A606" s="16"/>
      <c r="B606" s="15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</row>
    <row r="607">
      <c r="A607" s="16"/>
      <c r="B607" s="15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</row>
    <row r="608">
      <c r="A608" s="16"/>
      <c r="B608" s="15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</row>
    <row r="609">
      <c r="A609" s="16"/>
      <c r="B609" s="15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</row>
    <row r="610">
      <c r="A610" s="16"/>
      <c r="B610" s="15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</row>
    <row r="611">
      <c r="A611" s="16"/>
      <c r="B611" s="15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</row>
    <row r="612">
      <c r="A612" s="16"/>
      <c r="B612" s="15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</row>
    <row r="613">
      <c r="A613" s="16"/>
      <c r="B613" s="15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</row>
    <row r="614">
      <c r="A614" s="16"/>
      <c r="B614" s="15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</row>
    <row r="615">
      <c r="A615" s="16"/>
      <c r="B615" s="15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</row>
    <row r="616">
      <c r="A616" s="16"/>
      <c r="B616" s="15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</row>
    <row r="617">
      <c r="A617" s="16"/>
      <c r="B617" s="15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</row>
    <row r="618">
      <c r="A618" s="16"/>
      <c r="B618" s="15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</row>
    <row r="619">
      <c r="A619" s="16"/>
      <c r="B619" s="15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</row>
    <row r="620">
      <c r="A620" s="16"/>
      <c r="B620" s="15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</row>
    <row r="621">
      <c r="A621" s="16"/>
      <c r="B621" s="15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</row>
    <row r="622">
      <c r="A622" s="16"/>
      <c r="B622" s="15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</row>
    <row r="623">
      <c r="A623" s="16"/>
      <c r="B623" s="15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>
      <c r="A624" s="16"/>
      <c r="B624" s="15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</row>
    <row r="625">
      <c r="A625" s="16"/>
      <c r="B625" s="15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</row>
    <row r="626">
      <c r="A626" s="16"/>
      <c r="B626" s="15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</row>
    <row r="627">
      <c r="A627" s="16"/>
      <c r="B627" s="15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</row>
    <row r="628">
      <c r="A628" s="16"/>
      <c r="B628" s="15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</row>
    <row r="629">
      <c r="A629" s="16"/>
      <c r="B629" s="15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</row>
    <row r="630">
      <c r="A630" s="16"/>
      <c r="B630" s="15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</row>
    <row r="631">
      <c r="A631" s="16"/>
      <c r="B631" s="15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</row>
    <row r="632">
      <c r="A632" s="16"/>
      <c r="B632" s="15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</row>
    <row r="633">
      <c r="A633" s="16"/>
      <c r="B633" s="15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</row>
    <row r="634">
      <c r="A634" s="16"/>
      <c r="B634" s="15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</row>
    <row r="635">
      <c r="A635" s="16"/>
      <c r="B635" s="15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</row>
    <row r="636">
      <c r="A636" s="16"/>
      <c r="B636" s="15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</row>
    <row r="637">
      <c r="A637" s="16"/>
      <c r="B637" s="15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</row>
    <row r="638">
      <c r="A638" s="16"/>
      <c r="B638" s="15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</row>
    <row r="639">
      <c r="A639" s="16"/>
      <c r="B639" s="15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</row>
    <row r="640">
      <c r="A640" s="16"/>
      <c r="B640" s="15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</row>
    <row r="641">
      <c r="A641" s="16"/>
      <c r="B641" s="15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</row>
    <row r="642">
      <c r="A642" s="16"/>
      <c r="B642" s="15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</row>
    <row r="643">
      <c r="A643" s="16"/>
      <c r="B643" s="15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</row>
    <row r="644">
      <c r="A644" s="16"/>
      <c r="B644" s="15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</row>
    <row r="645">
      <c r="A645" s="16"/>
      <c r="B645" s="15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</row>
    <row r="646">
      <c r="A646" s="16"/>
      <c r="B646" s="15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</row>
    <row r="647">
      <c r="A647" s="16"/>
      <c r="B647" s="15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</row>
    <row r="648">
      <c r="A648" s="16"/>
      <c r="B648" s="15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</row>
    <row r="649">
      <c r="A649" s="16"/>
      <c r="B649" s="15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</row>
    <row r="650">
      <c r="A650" s="16"/>
      <c r="B650" s="15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</row>
    <row r="651">
      <c r="A651" s="16"/>
      <c r="B651" s="15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>
      <c r="A652" s="16"/>
      <c r="B652" s="15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</row>
    <row r="653">
      <c r="A653" s="16"/>
      <c r="B653" s="15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</row>
    <row r="654">
      <c r="A654" s="16"/>
      <c r="B654" s="15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</row>
    <row r="655">
      <c r="A655" s="16"/>
      <c r="B655" s="15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</row>
    <row r="656">
      <c r="A656" s="16"/>
      <c r="B656" s="15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</row>
    <row r="657">
      <c r="A657" s="16"/>
      <c r="B657" s="15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</row>
    <row r="658">
      <c r="A658" s="16"/>
      <c r="B658" s="15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</row>
    <row r="659">
      <c r="A659" s="16"/>
      <c r="B659" s="15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</row>
    <row r="660">
      <c r="A660" s="16"/>
      <c r="B660" s="15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</row>
    <row r="661">
      <c r="A661" s="16"/>
      <c r="B661" s="15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</row>
    <row r="662">
      <c r="A662" s="16"/>
      <c r="B662" s="15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</row>
    <row r="663">
      <c r="A663" s="16"/>
      <c r="B663" s="15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</row>
    <row r="664">
      <c r="A664" s="16"/>
      <c r="B664" s="15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</row>
    <row r="665">
      <c r="A665" s="16"/>
      <c r="B665" s="15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</row>
    <row r="666">
      <c r="A666" s="16"/>
      <c r="B666" s="15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</row>
    <row r="667">
      <c r="A667" s="16"/>
      <c r="B667" s="15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</row>
    <row r="668">
      <c r="A668" s="16"/>
      <c r="B668" s="15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</row>
    <row r="669">
      <c r="A669" s="16"/>
      <c r="B669" s="15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>
      <c r="A670" s="16"/>
      <c r="B670" s="15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</row>
    <row r="671">
      <c r="A671" s="16"/>
      <c r="B671" s="15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</row>
    <row r="672">
      <c r="A672" s="16"/>
      <c r="B672" s="15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</row>
    <row r="673">
      <c r="A673" s="16"/>
      <c r="B673" s="15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</row>
    <row r="674">
      <c r="A674" s="16"/>
      <c r="B674" s="15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</row>
    <row r="675">
      <c r="A675" s="16"/>
      <c r="B675" s="15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</row>
    <row r="676">
      <c r="A676" s="16"/>
      <c r="B676" s="15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</row>
    <row r="677">
      <c r="A677" s="16"/>
      <c r="B677" s="15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>
      <c r="A678" s="16"/>
      <c r="B678" s="15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</row>
    <row r="679">
      <c r="A679" s="16"/>
      <c r="B679" s="15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</row>
    <row r="680">
      <c r="A680" s="16"/>
      <c r="B680" s="15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</row>
    <row r="681">
      <c r="A681" s="16"/>
      <c r="B681" s="15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</row>
    <row r="682">
      <c r="A682" s="16"/>
      <c r="B682" s="15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</row>
    <row r="683">
      <c r="A683" s="16"/>
      <c r="B683" s="15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</row>
    <row r="684">
      <c r="A684" s="16"/>
      <c r="B684" s="15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</row>
    <row r="685">
      <c r="A685" s="16"/>
      <c r="B685" s="15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</row>
    <row r="686">
      <c r="A686" s="16"/>
      <c r="B686" s="15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</row>
    <row r="687">
      <c r="A687" s="16"/>
      <c r="B687" s="15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>
      <c r="A688" s="16"/>
      <c r="B688" s="15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</row>
    <row r="689">
      <c r="A689" s="16"/>
      <c r="B689" s="15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</row>
    <row r="690">
      <c r="A690" s="16"/>
      <c r="B690" s="15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</row>
    <row r="691">
      <c r="A691" s="16"/>
      <c r="B691" s="15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</row>
    <row r="692">
      <c r="A692" s="16"/>
      <c r="B692" s="15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</row>
    <row r="693">
      <c r="A693" s="16"/>
      <c r="B693" s="15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</row>
    <row r="694">
      <c r="A694" s="16"/>
      <c r="B694" s="15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</row>
    <row r="695">
      <c r="A695" s="16"/>
      <c r="B695" s="15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</row>
    <row r="696">
      <c r="A696" s="16"/>
      <c r="B696" s="15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</row>
    <row r="697">
      <c r="A697" s="16"/>
      <c r="B697" s="15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</row>
    <row r="698">
      <c r="A698" s="16"/>
      <c r="B698" s="15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</row>
    <row r="699">
      <c r="A699" s="16"/>
      <c r="B699" s="15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</row>
    <row r="700">
      <c r="A700" s="16"/>
      <c r="B700" s="15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</row>
    <row r="701">
      <c r="A701" s="16"/>
      <c r="B701" s="15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</row>
    <row r="702">
      <c r="A702" s="16"/>
      <c r="B702" s="15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>
      <c r="A703" s="16"/>
      <c r="B703" s="15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</row>
    <row r="704">
      <c r="A704" s="16"/>
      <c r="B704" s="15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</row>
    <row r="705">
      <c r="A705" s="16"/>
      <c r="B705" s="15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</row>
    <row r="706">
      <c r="A706" s="16"/>
      <c r="B706" s="15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</row>
    <row r="707">
      <c r="A707" s="16"/>
      <c r="B707" s="15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</row>
    <row r="708">
      <c r="A708" s="16"/>
      <c r="B708" s="15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</row>
    <row r="709">
      <c r="A709" s="16"/>
      <c r="B709" s="15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</row>
    <row r="710">
      <c r="A710" s="16"/>
      <c r="B710" s="15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</row>
    <row r="711">
      <c r="A711" s="16"/>
      <c r="B711" s="15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>
      <c r="A712" s="16"/>
      <c r="B712" s="15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</row>
    <row r="713">
      <c r="A713" s="16"/>
      <c r="B713" s="15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</row>
    <row r="714">
      <c r="A714" s="16"/>
      <c r="B714" s="15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</row>
    <row r="715">
      <c r="A715" s="16"/>
      <c r="B715" s="15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>
      <c r="A716" s="16"/>
      <c r="B716" s="15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</row>
    <row r="717">
      <c r="A717" s="16"/>
      <c r="B717" s="15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</row>
    <row r="718">
      <c r="A718" s="16"/>
      <c r="B718" s="15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</row>
    <row r="719">
      <c r="A719" s="16"/>
      <c r="B719" s="15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</row>
    <row r="720">
      <c r="A720" s="16"/>
      <c r="B720" s="15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</row>
    <row r="721">
      <c r="A721" s="16"/>
      <c r="B721" s="15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</row>
    <row r="722">
      <c r="A722" s="16"/>
      <c r="B722" s="15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</row>
    <row r="723">
      <c r="A723" s="16"/>
      <c r="B723" s="15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</row>
    <row r="724">
      <c r="A724" s="16"/>
      <c r="B724" s="15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</row>
    <row r="725">
      <c r="A725" s="16"/>
      <c r="B725" s="15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</row>
    <row r="726">
      <c r="A726" s="16"/>
      <c r="B726" s="15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</row>
    <row r="727">
      <c r="A727" s="16"/>
      <c r="B727" s="15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</row>
    <row r="728">
      <c r="A728" s="16"/>
      <c r="B728" s="15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>
      <c r="A729" s="16"/>
      <c r="B729" s="15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</row>
    <row r="730">
      <c r="A730" s="16"/>
      <c r="B730" s="15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</row>
    <row r="731">
      <c r="A731" s="16"/>
      <c r="B731" s="15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</row>
    <row r="732">
      <c r="A732" s="16"/>
      <c r="B732" s="15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</row>
    <row r="733">
      <c r="A733" s="16"/>
      <c r="B733" s="15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</row>
    <row r="734">
      <c r="A734" s="16"/>
      <c r="B734" s="15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</row>
    <row r="735">
      <c r="A735" s="16"/>
      <c r="B735" s="15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</row>
    <row r="736">
      <c r="A736" s="16"/>
      <c r="B736" s="15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>
      <c r="A737" s="16"/>
      <c r="B737" s="15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</row>
    <row r="738">
      <c r="A738" s="16"/>
      <c r="B738" s="15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</row>
    <row r="739">
      <c r="A739" s="16"/>
      <c r="B739" s="15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</row>
    <row r="740">
      <c r="A740" s="16"/>
      <c r="B740" s="15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</row>
    <row r="741">
      <c r="A741" s="16"/>
      <c r="B741" s="15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</row>
    <row r="742">
      <c r="A742" s="16"/>
      <c r="B742" s="15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</row>
    <row r="743">
      <c r="A743" s="16"/>
      <c r="B743" s="15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</row>
    <row r="744">
      <c r="A744" s="16"/>
      <c r="B744" s="15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</row>
    <row r="745">
      <c r="A745" s="16"/>
      <c r="B745" s="15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</row>
    <row r="746">
      <c r="A746" s="16"/>
      <c r="B746" s="15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</row>
    <row r="747">
      <c r="A747" s="16"/>
      <c r="B747" s="15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</row>
    <row r="748">
      <c r="A748" s="16"/>
      <c r="B748" s="15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</row>
    <row r="749">
      <c r="A749" s="16"/>
      <c r="B749" s="15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</row>
    <row r="750">
      <c r="A750" s="16"/>
      <c r="B750" s="15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>
      <c r="A751" s="16"/>
      <c r="B751" s="15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</row>
    <row r="752">
      <c r="A752" s="16"/>
      <c r="B752" s="15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</row>
    <row r="753">
      <c r="A753" s="16"/>
      <c r="B753" s="15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</row>
    <row r="754">
      <c r="A754" s="16"/>
      <c r="B754" s="15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</row>
    <row r="755">
      <c r="A755" s="16"/>
      <c r="B755" s="15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</row>
    <row r="756">
      <c r="A756" s="16"/>
      <c r="B756" s="15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</row>
    <row r="757">
      <c r="A757" s="16"/>
      <c r="B757" s="15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</row>
    <row r="758">
      <c r="A758" s="16"/>
      <c r="B758" s="15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</row>
    <row r="759">
      <c r="A759" s="16"/>
      <c r="B759" s="15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</row>
    <row r="760">
      <c r="A760" s="16"/>
      <c r="B760" s="15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</row>
    <row r="761">
      <c r="A761" s="16"/>
      <c r="B761" s="15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</row>
    <row r="762">
      <c r="A762" s="16"/>
      <c r="B762" s="15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</row>
    <row r="763">
      <c r="A763" s="16"/>
      <c r="B763" s="15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</row>
    <row r="764">
      <c r="A764" s="16"/>
      <c r="B764" s="15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</row>
    <row r="765">
      <c r="A765" s="16"/>
      <c r="B765" s="15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</row>
    <row r="766">
      <c r="A766" s="16"/>
      <c r="B766" s="15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</row>
    <row r="767">
      <c r="A767" s="16"/>
      <c r="B767" s="15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</row>
    <row r="768">
      <c r="A768" s="16"/>
      <c r="B768" s="15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</row>
    <row r="769">
      <c r="A769" s="16"/>
      <c r="B769" s="15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</row>
    <row r="770">
      <c r="A770" s="16"/>
      <c r="B770" s="15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>
      <c r="A771" s="16"/>
      <c r="B771" s="15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</row>
    <row r="772">
      <c r="A772" s="16"/>
      <c r="B772" s="15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</row>
    <row r="773">
      <c r="A773" s="16"/>
      <c r="B773" s="15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</row>
    <row r="774">
      <c r="A774" s="16"/>
      <c r="B774" s="15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</row>
    <row r="775">
      <c r="A775" s="16"/>
      <c r="B775" s="15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</row>
    <row r="776">
      <c r="A776" s="16"/>
      <c r="B776" s="15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</row>
    <row r="777">
      <c r="A777" s="16"/>
      <c r="B777" s="15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</row>
    <row r="778">
      <c r="A778" s="16"/>
      <c r="B778" s="15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</row>
    <row r="779">
      <c r="A779" s="16"/>
      <c r="B779" s="15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</row>
    <row r="780">
      <c r="A780" s="16"/>
      <c r="B780" s="15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</row>
    <row r="781">
      <c r="A781" s="16"/>
      <c r="B781" s="15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</row>
    <row r="782">
      <c r="A782" s="16"/>
      <c r="B782" s="15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</row>
    <row r="783">
      <c r="A783" s="16"/>
      <c r="B783" s="15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</row>
    <row r="784">
      <c r="A784" s="16"/>
      <c r="B784" s="15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</row>
    <row r="785">
      <c r="A785" s="16"/>
      <c r="B785" s="15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</row>
    <row r="786">
      <c r="A786" s="16"/>
      <c r="B786" s="15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</row>
    <row r="787">
      <c r="A787" s="16"/>
      <c r="B787" s="15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</row>
    <row r="788">
      <c r="A788" s="16"/>
      <c r="B788" s="15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</row>
    <row r="789">
      <c r="A789" s="16"/>
      <c r="B789" s="15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</row>
    <row r="790">
      <c r="A790" s="16"/>
      <c r="B790" s="15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</row>
    <row r="791">
      <c r="A791" s="16"/>
      <c r="B791" s="15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</row>
    <row r="792">
      <c r="A792" s="16"/>
      <c r="B792" s="15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</row>
    <row r="793">
      <c r="A793" s="16"/>
      <c r="B793" s="15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</row>
    <row r="794">
      <c r="A794" s="16"/>
      <c r="B794" s="15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</row>
    <row r="795">
      <c r="A795" s="16"/>
      <c r="B795" s="15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>
      <c r="A796" s="16"/>
      <c r="B796" s="15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</row>
    <row r="797">
      <c r="A797" s="16"/>
      <c r="B797" s="15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</row>
    <row r="798">
      <c r="A798" s="16"/>
      <c r="B798" s="15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</row>
    <row r="799">
      <c r="A799" s="16"/>
      <c r="B799" s="15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</row>
    <row r="800">
      <c r="A800" s="16"/>
      <c r="B800" s="15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</row>
    <row r="801">
      <c r="A801" s="16"/>
      <c r="B801" s="15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</row>
    <row r="802">
      <c r="A802" s="16"/>
      <c r="B802" s="15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</row>
    <row r="803">
      <c r="A803" s="16"/>
      <c r="B803" s="15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</row>
    <row r="804">
      <c r="A804" s="16"/>
      <c r="B804" s="15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</row>
    <row r="805">
      <c r="A805" s="16"/>
      <c r="B805" s="15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</row>
    <row r="806">
      <c r="A806" s="16"/>
      <c r="B806" s="15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</row>
    <row r="807">
      <c r="A807" s="16"/>
      <c r="B807" s="15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</row>
    <row r="808">
      <c r="A808" s="16"/>
      <c r="B808" s="15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</row>
    <row r="809">
      <c r="A809" s="16"/>
      <c r="B809" s="15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</row>
    <row r="810">
      <c r="A810" s="16"/>
      <c r="B810" s="15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</row>
    <row r="811">
      <c r="A811" s="16"/>
      <c r="B811" s="15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</row>
    <row r="812">
      <c r="A812" s="16"/>
      <c r="B812" s="15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>
      <c r="A813" s="16"/>
      <c r="B813" s="15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</row>
    <row r="814">
      <c r="A814" s="16"/>
      <c r="B814" s="15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>
      <c r="A815" s="16"/>
      <c r="B815" s="15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</row>
    <row r="816">
      <c r="A816" s="16"/>
      <c r="B816" s="15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</row>
    <row r="817">
      <c r="A817" s="16"/>
      <c r="B817" s="15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</row>
    <row r="818">
      <c r="A818" s="16"/>
      <c r="B818" s="15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</row>
    <row r="819">
      <c r="A819" s="16"/>
      <c r="B819" s="15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</row>
    <row r="820">
      <c r="A820" s="16"/>
      <c r="B820" s="15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>
      <c r="A821" s="16"/>
      <c r="B821" s="15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</row>
    <row r="822">
      <c r="A822" s="16"/>
      <c r="B822" s="15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</row>
    <row r="823">
      <c r="A823" s="16"/>
      <c r="B823" s="15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</row>
    <row r="824">
      <c r="A824" s="16"/>
      <c r="B824" s="15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</row>
    <row r="825">
      <c r="A825" s="16"/>
      <c r="B825" s="15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</row>
    <row r="826">
      <c r="A826" s="16"/>
      <c r="B826" s="15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</row>
    <row r="827">
      <c r="A827" s="16"/>
      <c r="B827" s="15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</row>
    <row r="828">
      <c r="A828" s="16"/>
      <c r="B828" s="15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</row>
    <row r="829">
      <c r="A829" s="16"/>
      <c r="B829" s="15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</row>
    <row r="830">
      <c r="A830" s="16"/>
      <c r="B830" s="15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</row>
    <row r="831">
      <c r="A831" s="16"/>
      <c r="B831" s="15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</row>
    <row r="832">
      <c r="A832" s="16"/>
      <c r="B832" s="15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</row>
    <row r="833">
      <c r="A833" s="16"/>
      <c r="B833" s="15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</row>
    <row r="834">
      <c r="A834" s="16"/>
      <c r="B834" s="15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</row>
    <row r="835">
      <c r="A835" s="16"/>
      <c r="B835" s="15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</row>
    <row r="836">
      <c r="A836" s="16"/>
      <c r="B836" s="15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</row>
    <row r="837">
      <c r="A837" s="16"/>
      <c r="B837" s="15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</row>
    <row r="838">
      <c r="A838" s="16"/>
      <c r="B838" s="15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</row>
    <row r="839">
      <c r="A839" s="16"/>
      <c r="B839" s="15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</row>
    <row r="840">
      <c r="A840" s="16"/>
      <c r="B840" s="15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</row>
    <row r="841">
      <c r="A841" s="16"/>
      <c r="B841" s="15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</row>
    <row r="842">
      <c r="A842" s="16"/>
      <c r="B842" s="15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</row>
    <row r="843">
      <c r="A843" s="16"/>
      <c r="B843" s="15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>
      <c r="A844" s="16"/>
      <c r="B844" s="15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</row>
    <row r="845">
      <c r="A845" s="16"/>
      <c r="B845" s="15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</row>
    <row r="846">
      <c r="A846" s="16"/>
      <c r="B846" s="15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</row>
    <row r="847">
      <c r="A847" s="16"/>
      <c r="B847" s="15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</row>
    <row r="848">
      <c r="A848" s="16"/>
      <c r="B848" s="15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</row>
    <row r="849">
      <c r="A849" s="16"/>
      <c r="B849" s="15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</row>
    <row r="850">
      <c r="A850" s="16"/>
      <c r="B850" s="15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</row>
    <row r="851">
      <c r="A851" s="16"/>
      <c r="B851" s="15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</row>
    <row r="852">
      <c r="A852" s="16"/>
      <c r="B852" s="15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</row>
    <row r="853">
      <c r="A853" s="16"/>
      <c r="B853" s="15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</row>
    <row r="854">
      <c r="A854" s="16"/>
      <c r="B854" s="15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</row>
    <row r="855">
      <c r="A855" s="16"/>
      <c r="B855" s="15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</row>
    <row r="856">
      <c r="A856" s="16"/>
      <c r="B856" s="15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>
      <c r="A857" s="16"/>
      <c r="B857" s="15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</row>
    <row r="858">
      <c r="A858" s="16"/>
      <c r="B858" s="15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</row>
    <row r="859">
      <c r="A859" s="16"/>
      <c r="B859" s="15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</row>
    <row r="860">
      <c r="A860" s="16"/>
      <c r="B860" s="15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</row>
    <row r="861">
      <c r="A861" s="16"/>
      <c r="B861" s="15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</row>
    <row r="862">
      <c r="A862" s="16"/>
      <c r="B862" s="15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</row>
    <row r="863">
      <c r="A863" s="16"/>
      <c r="B863" s="15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</row>
    <row r="864">
      <c r="A864" s="16"/>
      <c r="B864" s="15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</row>
    <row r="865">
      <c r="A865" s="16"/>
      <c r="B865" s="15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>
      <c r="A866" s="16"/>
      <c r="B866" s="15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</row>
    <row r="867">
      <c r="A867" s="16"/>
      <c r="B867" s="15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</row>
    <row r="868">
      <c r="A868" s="16"/>
      <c r="B868" s="15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</row>
    <row r="869">
      <c r="A869" s="16"/>
      <c r="B869" s="15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</row>
    <row r="870">
      <c r="A870" s="16"/>
      <c r="B870" s="15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</row>
    <row r="871">
      <c r="A871" s="16"/>
      <c r="B871" s="15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</row>
    <row r="872">
      <c r="A872" s="16"/>
      <c r="B872" s="15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</row>
    <row r="873">
      <c r="A873" s="16"/>
      <c r="B873" s="15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</row>
    <row r="874">
      <c r="A874" s="16"/>
      <c r="B874" s="15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</row>
    <row r="875">
      <c r="A875" s="16"/>
      <c r="B875" s="15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</row>
    <row r="876">
      <c r="A876" s="16"/>
      <c r="B876" s="15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</row>
    <row r="877">
      <c r="A877" s="16"/>
      <c r="B877" s="15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</row>
    <row r="878">
      <c r="A878" s="16"/>
      <c r="B878" s="15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</row>
    <row r="879">
      <c r="A879" s="16"/>
      <c r="B879" s="15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</row>
    <row r="880">
      <c r="A880" s="16"/>
      <c r="B880" s="15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</row>
    <row r="881">
      <c r="A881" s="16"/>
      <c r="B881" s="15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</row>
    <row r="882">
      <c r="A882" s="16"/>
      <c r="B882" s="15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</row>
    <row r="883">
      <c r="A883" s="16"/>
      <c r="B883" s="15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</row>
    <row r="884">
      <c r="A884" s="16"/>
      <c r="B884" s="15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</row>
    <row r="885">
      <c r="A885" s="16"/>
      <c r="B885" s="15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</row>
    <row r="886">
      <c r="A886" s="16"/>
      <c r="B886" s="15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</row>
    <row r="887">
      <c r="A887" s="16"/>
      <c r="B887" s="15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</row>
    <row r="888">
      <c r="A888" s="16"/>
      <c r="B888" s="15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</row>
    <row r="889">
      <c r="A889" s="16"/>
      <c r="B889" s="15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</row>
    <row r="890">
      <c r="A890" s="16"/>
      <c r="B890" s="15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</row>
    <row r="891">
      <c r="A891" s="16"/>
      <c r="B891" s="15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</row>
    <row r="892">
      <c r="A892" s="16"/>
      <c r="B892" s="15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</row>
    <row r="893">
      <c r="A893" s="16"/>
      <c r="B893" s="15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</row>
    <row r="894">
      <c r="A894" s="16"/>
      <c r="B894" s="15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</row>
    <row r="895">
      <c r="A895" s="16"/>
      <c r="B895" s="15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</row>
    <row r="896">
      <c r="A896" s="16"/>
      <c r="B896" s="15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</row>
    <row r="897">
      <c r="A897" s="16"/>
      <c r="B897" s="15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</row>
    <row r="898">
      <c r="A898" s="16"/>
      <c r="B898" s="15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</row>
    <row r="899">
      <c r="A899" s="16"/>
      <c r="B899" s="15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</row>
    <row r="900">
      <c r="A900" s="16"/>
      <c r="B900" s="15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</row>
    <row r="901">
      <c r="A901" s="16"/>
      <c r="B901" s="15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</row>
    <row r="902">
      <c r="A902" s="16"/>
      <c r="B902" s="15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</row>
    <row r="903">
      <c r="A903" s="16"/>
      <c r="B903" s="15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</row>
    <row r="904">
      <c r="A904" s="16"/>
      <c r="B904" s="15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>
      <c r="A905" s="16"/>
      <c r="B905" s="15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</row>
    <row r="906">
      <c r="A906" s="16"/>
      <c r="B906" s="15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</row>
    <row r="907">
      <c r="A907" s="16"/>
      <c r="B907" s="15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</row>
    <row r="908">
      <c r="A908" s="16"/>
      <c r="B908" s="15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</row>
    <row r="909">
      <c r="A909" s="16"/>
      <c r="B909" s="15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</row>
    <row r="910">
      <c r="A910" s="16"/>
      <c r="B910" s="15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</row>
    <row r="911">
      <c r="A911" s="16"/>
      <c r="B911" s="15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</row>
    <row r="912">
      <c r="A912" s="16"/>
      <c r="B912" s="15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>
      <c r="A913" s="16"/>
      <c r="B913" s="15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</row>
    <row r="914">
      <c r="A914" s="16"/>
      <c r="B914" s="15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</row>
    <row r="915">
      <c r="A915" s="16"/>
      <c r="B915" s="15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</row>
    <row r="916">
      <c r="A916" s="16"/>
      <c r="B916" s="15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</row>
    <row r="917">
      <c r="A917" s="16"/>
      <c r="B917" s="15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</row>
    <row r="918">
      <c r="A918" s="16"/>
      <c r="B918" s="15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</row>
    <row r="919">
      <c r="A919" s="16"/>
      <c r="B919" s="15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</row>
    <row r="920">
      <c r="A920" s="16"/>
      <c r="B920" s="15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</row>
    <row r="921">
      <c r="A921" s="16"/>
      <c r="B921" s="15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</row>
    <row r="922">
      <c r="A922" s="16"/>
      <c r="B922" s="15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</row>
    <row r="923">
      <c r="A923" s="16"/>
      <c r="B923" s="15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</row>
    <row r="924">
      <c r="A924" s="16"/>
      <c r="B924" s="15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</row>
    <row r="925">
      <c r="A925" s="16"/>
      <c r="B925" s="15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>
      <c r="A926" s="16"/>
      <c r="B926" s="15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</row>
    <row r="927">
      <c r="A927" s="16"/>
      <c r="B927" s="15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</row>
    <row r="928">
      <c r="A928" s="16"/>
      <c r="B928" s="15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</row>
    <row r="929">
      <c r="A929" s="16"/>
      <c r="B929" s="15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</row>
    <row r="930">
      <c r="A930" s="16"/>
      <c r="B930" s="15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</row>
    <row r="931">
      <c r="A931" s="16"/>
      <c r="B931" s="15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</row>
    <row r="932">
      <c r="A932" s="16"/>
      <c r="B932" s="15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</row>
    <row r="933">
      <c r="A933" s="16"/>
      <c r="B933" s="15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</row>
    <row r="934">
      <c r="A934" s="16"/>
      <c r="B934" s="15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</row>
    <row r="935">
      <c r="A935" s="16"/>
      <c r="B935" s="15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</row>
    <row r="936">
      <c r="A936" s="16"/>
      <c r="B936" s="15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</row>
    <row r="937">
      <c r="A937" s="16"/>
      <c r="B937" s="15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</row>
    <row r="938">
      <c r="A938" s="16"/>
      <c r="B938" s="15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</row>
    <row r="939">
      <c r="A939" s="16"/>
      <c r="B939" s="15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</row>
    <row r="940">
      <c r="A940" s="16"/>
      <c r="B940" s="15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</row>
    <row r="941">
      <c r="A941" s="16"/>
      <c r="B941" s="15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</row>
    <row r="942">
      <c r="A942" s="16"/>
      <c r="B942" s="15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</row>
    <row r="943">
      <c r="A943" s="16"/>
      <c r="B943" s="15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>
      <c r="A944" s="16"/>
      <c r="B944" s="15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</row>
    <row r="945">
      <c r="A945" s="16"/>
      <c r="B945" s="15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</row>
    <row r="946">
      <c r="A946" s="16"/>
      <c r="B946" s="15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</row>
    <row r="947">
      <c r="A947" s="16"/>
      <c r="B947" s="15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</row>
    <row r="948">
      <c r="A948" s="16"/>
      <c r="B948" s="15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</row>
    <row r="949">
      <c r="A949" s="16"/>
      <c r="B949" s="15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</row>
    <row r="950">
      <c r="A950" s="16"/>
      <c r="B950" s="15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</row>
    <row r="951">
      <c r="A951" s="16"/>
      <c r="B951" s="15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</row>
    <row r="952">
      <c r="A952" s="16"/>
      <c r="B952" s="15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</row>
    <row r="953">
      <c r="A953" s="16"/>
      <c r="B953" s="15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</row>
    <row r="954">
      <c r="A954" s="16"/>
      <c r="B954" s="15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</row>
    <row r="955">
      <c r="A955" s="16"/>
      <c r="B955" s="15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</row>
    <row r="956">
      <c r="A956" s="16"/>
      <c r="B956" s="15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</row>
    <row r="957">
      <c r="A957" s="16"/>
      <c r="B957" s="15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</row>
    <row r="958">
      <c r="A958" s="16"/>
      <c r="B958" s="15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</row>
    <row r="959">
      <c r="A959" s="16"/>
      <c r="B959" s="15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</row>
    <row r="960">
      <c r="A960" s="16"/>
      <c r="B960" s="15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</row>
    <row r="961">
      <c r="A961" s="16"/>
      <c r="B961" s="15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</row>
    <row r="962">
      <c r="A962" s="16"/>
      <c r="B962" s="15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</row>
    <row r="963">
      <c r="A963" s="16"/>
      <c r="B963" s="15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</row>
    <row r="964">
      <c r="A964" s="16"/>
      <c r="B964" s="15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</row>
    <row r="965">
      <c r="A965" s="16"/>
      <c r="B965" s="15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</row>
    <row r="966">
      <c r="A966" s="16"/>
      <c r="B966" s="15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</row>
    <row r="967">
      <c r="A967" s="16"/>
      <c r="B967" s="15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</row>
    <row r="968">
      <c r="A968" s="16"/>
      <c r="B968" s="15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</row>
    <row r="969">
      <c r="A969" s="16"/>
      <c r="B969" s="15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</row>
    <row r="970">
      <c r="A970" s="16"/>
      <c r="B970" s="15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</row>
    <row r="971">
      <c r="A971" s="16"/>
      <c r="B971" s="15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</row>
    <row r="972">
      <c r="A972" s="16"/>
      <c r="B972" s="15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</row>
    <row r="973">
      <c r="A973" s="16"/>
      <c r="B973" s="15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</row>
    <row r="974">
      <c r="A974" s="16"/>
      <c r="B974" s="15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</row>
    <row r="975">
      <c r="A975" s="16"/>
      <c r="B975" s="15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</row>
    <row r="976">
      <c r="A976" s="16"/>
      <c r="B976" s="15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</row>
    <row r="977">
      <c r="A977" s="16"/>
      <c r="B977" s="15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</row>
    <row r="978">
      <c r="A978" s="16"/>
      <c r="B978" s="15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</row>
    <row r="979">
      <c r="A979" s="16"/>
      <c r="B979" s="15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</row>
    <row r="980">
      <c r="A980" s="16"/>
      <c r="B980" s="15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</row>
    <row r="981">
      <c r="A981" s="16"/>
      <c r="B981" s="15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</row>
    <row r="982">
      <c r="A982" s="16"/>
      <c r="B982" s="15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</row>
    <row r="983">
      <c r="A983" s="16"/>
      <c r="B983" s="15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</row>
    <row r="984">
      <c r="A984" s="16"/>
      <c r="B984" s="15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</row>
    <row r="985">
      <c r="A985" s="16"/>
      <c r="B985" s="15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</row>
    <row r="986">
      <c r="A986" s="16"/>
      <c r="B986" s="15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</row>
    <row r="987">
      <c r="A987" s="16"/>
      <c r="B987" s="15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</row>
    <row r="988">
      <c r="A988" s="16"/>
      <c r="B988" s="15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</row>
    <row r="989">
      <c r="A989" s="16"/>
      <c r="B989" s="15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</row>
    <row r="990">
      <c r="A990" s="16"/>
      <c r="B990" s="15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</row>
    <row r="991">
      <c r="A991" s="16"/>
      <c r="B991" s="15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</row>
    <row r="992">
      <c r="A992" s="16"/>
      <c r="B992" s="15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</row>
    <row r="993">
      <c r="A993" s="16"/>
      <c r="B993" s="15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</row>
    <row r="994">
      <c r="A994" s="16"/>
      <c r="B994" s="15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</row>
    <row r="995">
      <c r="A995" s="16"/>
      <c r="B995" s="15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</row>
    <row r="996">
      <c r="A996" s="16"/>
      <c r="B996" s="15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</row>
    <row r="997">
      <c r="A997" s="16"/>
      <c r="B997" s="15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</row>
    <row r="998">
      <c r="A998" s="16"/>
      <c r="B998" s="15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</row>
    <row r="999">
      <c r="A999" s="16"/>
      <c r="B999" s="15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</row>
    <row r="1000">
      <c r="A1000" s="16"/>
      <c r="B1000" s="15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</row>
    <row r="1001">
      <c r="A1001" s="16"/>
      <c r="B1001" s="15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</row>
  </sheetData>
  <mergeCells count="14">
    <mergeCell ref="H2:H3"/>
    <mergeCell ref="I2:I3"/>
    <mergeCell ref="J2:J3"/>
    <mergeCell ref="K2:M2"/>
    <mergeCell ref="N2:N3"/>
    <mergeCell ref="O2:O3"/>
    <mergeCell ref="A1:A3"/>
    <mergeCell ref="B1:B3"/>
    <mergeCell ref="C1:I1"/>
    <mergeCell ref="J1:P1"/>
    <mergeCell ref="C2:C3"/>
    <mergeCell ref="D2:F2"/>
    <mergeCell ref="G2:G3"/>
    <mergeCell ref="P2:P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16.25"/>
    <col customWidth="1" min="5" max="6" width="16.25"/>
    <col customWidth="1" min="8" max="9" width="14.63"/>
    <col customWidth="1" min="10" max="10" width="19.75"/>
    <col customWidth="1" min="11" max="11" width="14.63"/>
    <col customWidth="1" min="12" max="12" width="19.75"/>
    <col customWidth="1" min="15" max="15" width="15.0"/>
    <col customWidth="1" min="18" max="18" width="15.0"/>
    <col customWidth="1" min="19" max="19" width="15.88"/>
  </cols>
  <sheetData>
    <row r="1">
      <c r="A1" s="24" t="s">
        <v>49</v>
      </c>
    </row>
    <row r="2">
      <c r="A2" s="4" t="s">
        <v>50</v>
      </c>
      <c r="E2" s="3" t="s">
        <v>51</v>
      </c>
      <c r="I2" s="25" t="s">
        <v>52</v>
      </c>
      <c r="K2" s="25" t="s">
        <v>53</v>
      </c>
      <c r="M2" s="26" t="s">
        <v>54</v>
      </c>
      <c r="T2" s="1" t="s">
        <v>55</v>
      </c>
    </row>
    <row r="3">
      <c r="A3" s="7" t="s">
        <v>56</v>
      </c>
      <c r="B3" s="7" t="s">
        <v>57</v>
      </c>
      <c r="C3" s="7" t="s">
        <v>58</v>
      </c>
      <c r="D3" s="7" t="s">
        <v>59</v>
      </c>
      <c r="E3" s="6" t="s">
        <v>56</v>
      </c>
      <c r="F3" s="6" t="s">
        <v>57</v>
      </c>
      <c r="G3" s="6" t="s">
        <v>58</v>
      </c>
      <c r="H3" s="6" t="s">
        <v>60</v>
      </c>
      <c r="I3" s="27" t="s">
        <v>4</v>
      </c>
      <c r="J3" s="27" t="s">
        <v>61</v>
      </c>
      <c r="K3" s="27" t="s">
        <v>4</v>
      </c>
      <c r="L3" s="27" t="s">
        <v>61</v>
      </c>
      <c r="M3" s="28" t="s">
        <v>62</v>
      </c>
      <c r="N3" s="28" t="s">
        <v>63</v>
      </c>
      <c r="O3" s="28" t="s">
        <v>64</v>
      </c>
      <c r="P3" s="28" t="s">
        <v>65</v>
      </c>
      <c r="Q3" s="28" t="s">
        <v>66</v>
      </c>
      <c r="R3" s="28" t="s">
        <v>67</v>
      </c>
      <c r="S3" s="28" t="s">
        <v>68</v>
      </c>
      <c r="T3" s="9" t="s">
        <v>69</v>
      </c>
      <c r="U3" s="9" t="s">
        <v>70</v>
      </c>
    </row>
    <row r="4">
      <c r="A4" s="29" t="s">
        <v>71</v>
      </c>
      <c r="M4" s="30" t="s">
        <v>72</v>
      </c>
      <c r="N4" s="30">
        <v>1.0</v>
      </c>
      <c r="O4" s="30">
        <v>56.5</v>
      </c>
      <c r="P4" s="30">
        <v>15.6</v>
      </c>
      <c r="Q4" s="30">
        <v>18.1</v>
      </c>
      <c r="R4" s="30">
        <v>27.9</v>
      </c>
      <c r="S4" s="30">
        <v>57.0</v>
      </c>
      <c r="T4" s="31"/>
      <c r="U4" s="31"/>
    </row>
    <row r="5">
      <c r="A5" s="32">
        <v>7.834</v>
      </c>
      <c r="B5" s="33">
        <v>8.0</v>
      </c>
      <c r="C5" s="34">
        <v>8.0</v>
      </c>
      <c r="D5" s="14">
        <f t="shared" ref="D5:D30" si="1">C5*PI()*(B5/24)^2</f>
        <v>2.792526803</v>
      </c>
      <c r="E5" s="33">
        <v>4.834</v>
      </c>
      <c r="F5" s="33">
        <v>5.0</v>
      </c>
      <c r="G5" s="35">
        <f t="shared" ref="G5:G29" si="2">H5/(PI()*(F5/24)^2)</f>
        <v>4.096</v>
      </c>
      <c r="H5" s="14">
        <f t="shared" ref="H5:H29" si="3">D5/5</f>
        <v>0.5585053606</v>
      </c>
      <c r="I5" s="36">
        <f t="shared" ref="I5:I30" si="4">(D5-H5)*14771.8535141</f>
        <v>33000.6375</v>
      </c>
      <c r="J5" s="37">
        <f t="shared" ref="J5:J30" si="5">12*(D5*C5/2-H5*G5/2)/(D5-H5)</f>
        <v>53.856</v>
      </c>
      <c r="K5" s="35">
        <f t="shared" ref="K5:K30" si="6">22257.041*H5</f>
        <v>12430.67671</v>
      </c>
      <c r="L5" s="37">
        <f t="shared" ref="L5:L30" si="7">12*G5/2</f>
        <v>24.576</v>
      </c>
      <c r="M5" s="33" t="s">
        <v>72</v>
      </c>
      <c r="N5" s="8">
        <v>0.784</v>
      </c>
      <c r="O5" s="14">
        <f>N5*O4</f>
        <v>44.296</v>
      </c>
      <c r="P5" s="14">
        <f>N5*P4</f>
        <v>12.2304</v>
      </c>
      <c r="Q5" s="14">
        <f>N5*Q4</f>
        <v>14.1904</v>
      </c>
      <c r="R5" s="14">
        <f>N5*R4</f>
        <v>21.8736</v>
      </c>
      <c r="S5" s="8">
        <v>57.0</v>
      </c>
      <c r="T5" s="8">
        <v>2.6</v>
      </c>
      <c r="U5" s="8">
        <v>12.0</v>
      </c>
    </row>
    <row r="6">
      <c r="A6" s="32">
        <v>7.834</v>
      </c>
      <c r="B6" s="33">
        <v>8.0</v>
      </c>
      <c r="C6" s="34">
        <v>8.5</v>
      </c>
      <c r="D6" s="14">
        <f t="shared" si="1"/>
        <v>2.967059728</v>
      </c>
      <c r="E6" s="33">
        <v>4.834</v>
      </c>
      <c r="F6" s="33">
        <v>5.0</v>
      </c>
      <c r="G6" s="35">
        <f t="shared" si="2"/>
        <v>4.352</v>
      </c>
      <c r="H6" s="14">
        <f t="shared" si="3"/>
        <v>0.5934119457</v>
      </c>
      <c r="I6" s="36">
        <f t="shared" si="4"/>
        <v>35063.17734</v>
      </c>
      <c r="J6" s="37">
        <f t="shared" si="5"/>
        <v>57.222</v>
      </c>
      <c r="K6" s="35">
        <f t="shared" si="6"/>
        <v>13207.594</v>
      </c>
      <c r="L6" s="37">
        <f t="shared" si="7"/>
        <v>26.112</v>
      </c>
      <c r="M6" s="33" t="s">
        <v>72</v>
      </c>
    </row>
    <row r="7">
      <c r="A7" s="32">
        <v>7.834</v>
      </c>
      <c r="B7" s="33">
        <v>8.0</v>
      </c>
      <c r="C7" s="34">
        <v>9.0</v>
      </c>
      <c r="D7" s="14">
        <f t="shared" si="1"/>
        <v>3.141592654</v>
      </c>
      <c r="E7" s="33">
        <v>4.834</v>
      </c>
      <c r="F7" s="33">
        <v>5.0</v>
      </c>
      <c r="G7" s="35">
        <f t="shared" si="2"/>
        <v>4.608</v>
      </c>
      <c r="H7" s="14">
        <f t="shared" si="3"/>
        <v>0.6283185307</v>
      </c>
      <c r="I7" s="36">
        <f t="shared" si="4"/>
        <v>37125.71718</v>
      </c>
      <c r="J7" s="37">
        <f t="shared" si="5"/>
        <v>60.588</v>
      </c>
      <c r="K7" s="35">
        <f t="shared" si="6"/>
        <v>13984.5113</v>
      </c>
      <c r="L7" s="37">
        <f t="shared" si="7"/>
        <v>27.648</v>
      </c>
      <c r="M7" s="33" t="s">
        <v>72</v>
      </c>
      <c r="N7" s="8">
        <v>0.758</v>
      </c>
      <c r="O7" s="14">
        <f>N7*O4</f>
        <v>42.827</v>
      </c>
      <c r="P7" s="14">
        <f>N7*P4</f>
        <v>11.8248</v>
      </c>
      <c r="Q7" s="14">
        <f>N7*Q4</f>
        <v>13.7198</v>
      </c>
      <c r="R7" s="14">
        <f>N7*R4</f>
        <v>21.1482</v>
      </c>
      <c r="S7" s="8">
        <v>57.0</v>
      </c>
      <c r="T7" s="8">
        <v>2.78</v>
      </c>
      <c r="U7" s="8">
        <v>12.0</v>
      </c>
    </row>
    <row r="8">
      <c r="A8" s="32">
        <v>7.834</v>
      </c>
      <c r="B8" s="33">
        <v>8.0</v>
      </c>
      <c r="C8" s="34">
        <v>9.5</v>
      </c>
      <c r="D8" s="14">
        <f t="shared" si="1"/>
        <v>3.316125579</v>
      </c>
      <c r="E8" s="33">
        <v>4.834</v>
      </c>
      <c r="F8" s="33">
        <v>5.0</v>
      </c>
      <c r="G8" s="35">
        <f t="shared" si="2"/>
        <v>4.864</v>
      </c>
      <c r="H8" s="14">
        <f t="shared" si="3"/>
        <v>0.6632251158</v>
      </c>
      <c r="I8" s="36">
        <f t="shared" si="4"/>
        <v>39188.25703</v>
      </c>
      <c r="J8" s="37">
        <f t="shared" si="5"/>
        <v>63.954</v>
      </c>
      <c r="K8" s="35">
        <f t="shared" si="6"/>
        <v>14761.42859</v>
      </c>
      <c r="L8" s="37">
        <f t="shared" si="7"/>
        <v>29.184</v>
      </c>
      <c r="M8" s="33" t="s">
        <v>72</v>
      </c>
      <c r="N8" s="14"/>
      <c r="O8" s="14"/>
      <c r="P8" s="14"/>
      <c r="Q8" s="14"/>
      <c r="R8" s="14"/>
      <c r="S8" s="14"/>
      <c r="T8" s="14"/>
      <c r="U8" s="14"/>
    </row>
    <row r="9">
      <c r="A9" s="32">
        <v>7.834</v>
      </c>
      <c r="B9" s="33">
        <v>8.0</v>
      </c>
      <c r="C9" s="34">
        <v>10.0</v>
      </c>
      <c r="D9" s="14">
        <f t="shared" si="1"/>
        <v>3.490658504</v>
      </c>
      <c r="E9" s="33">
        <v>4.834</v>
      </c>
      <c r="F9" s="33">
        <v>5.0</v>
      </c>
      <c r="G9" s="35">
        <f t="shared" si="2"/>
        <v>5.12</v>
      </c>
      <c r="H9" s="14">
        <f t="shared" si="3"/>
        <v>0.6981317008</v>
      </c>
      <c r="I9" s="36">
        <f t="shared" si="4"/>
        <v>41250.79687</v>
      </c>
      <c r="J9" s="37">
        <f t="shared" si="5"/>
        <v>67.32</v>
      </c>
      <c r="K9" s="35">
        <f t="shared" si="6"/>
        <v>15538.34589</v>
      </c>
      <c r="L9" s="37">
        <f t="shared" si="7"/>
        <v>30.72</v>
      </c>
      <c r="M9" s="33" t="s">
        <v>72</v>
      </c>
      <c r="N9" s="8">
        <v>0.738</v>
      </c>
      <c r="O9" s="14">
        <f>O4*N9</f>
        <v>41.697</v>
      </c>
      <c r="P9" s="14">
        <f>P4*N9</f>
        <v>11.5128</v>
      </c>
      <c r="Q9" s="14">
        <f>Q4*N9</f>
        <v>13.3578</v>
      </c>
      <c r="R9" s="14">
        <f>R4*N9</f>
        <v>20.5902</v>
      </c>
      <c r="S9" s="8">
        <v>57.0</v>
      </c>
      <c r="T9" s="8">
        <v>2.97</v>
      </c>
      <c r="U9" s="8">
        <v>12.0</v>
      </c>
    </row>
    <row r="10">
      <c r="A10" s="32">
        <v>7.834</v>
      </c>
      <c r="B10" s="33">
        <v>8.0</v>
      </c>
      <c r="C10" s="34">
        <v>10.5</v>
      </c>
      <c r="D10" s="14">
        <f t="shared" si="1"/>
        <v>3.665191429</v>
      </c>
      <c r="E10" s="33">
        <v>4.834</v>
      </c>
      <c r="F10" s="33">
        <v>5.0</v>
      </c>
      <c r="G10" s="35">
        <f t="shared" si="2"/>
        <v>5.376</v>
      </c>
      <c r="H10" s="14">
        <f t="shared" si="3"/>
        <v>0.7330382858</v>
      </c>
      <c r="I10" s="36">
        <f t="shared" si="4"/>
        <v>43313.33671</v>
      </c>
      <c r="J10" s="37">
        <f t="shared" si="5"/>
        <v>70.686</v>
      </c>
      <c r="K10" s="35">
        <f t="shared" si="6"/>
        <v>16315.26318</v>
      </c>
      <c r="L10" s="37">
        <f t="shared" si="7"/>
        <v>32.256</v>
      </c>
      <c r="M10" s="33" t="s">
        <v>72</v>
      </c>
      <c r="N10" s="14"/>
      <c r="O10" s="14"/>
      <c r="P10" s="14"/>
      <c r="Q10" s="14"/>
      <c r="R10" s="14"/>
      <c r="S10" s="14"/>
      <c r="T10" s="14"/>
      <c r="U10" s="14"/>
    </row>
    <row r="11">
      <c r="A11" s="32">
        <v>7.834</v>
      </c>
      <c r="B11" s="33">
        <v>8.0</v>
      </c>
      <c r="C11" s="34">
        <v>11.0</v>
      </c>
      <c r="D11" s="14">
        <f t="shared" si="1"/>
        <v>3.839724354</v>
      </c>
      <c r="E11" s="33">
        <v>4.834</v>
      </c>
      <c r="F11" s="33">
        <v>5.0</v>
      </c>
      <c r="G11" s="35">
        <f t="shared" si="2"/>
        <v>5.632</v>
      </c>
      <c r="H11" s="14">
        <f t="shared" si="3"/>
        <v>0.7679448709</v>
      </c>
      <c r="I11" s="36">
        <f t="shared" si="4"/>
        <v>45375.87656</v>
      </c>
      <c r="J11" s="37">
        <f t="shared" si="5"/>
        <v>74.052</v>
      </c>
      <c r="K11" s="35">
        <f t="shared" si="6"/>
        <v>17092.18048</v>
      </c>
      <c r="L11" s="37">
        <f t="shared" si="7"/>
        <v>33.792</v>
      </c>
      <c r="M11" s="33" t="s">
        <v>72</v>
      </c>
      <c r="N11" s="8">
        <v>0.722</v>
      </c>
      <c r="O11" s="14">
        <f>O4*N11</f>
        <v>40.793</v>
      </c>
      <c r="P11" s="14">
        <f>P4*N11</f>
        <v>11.2632</v>
      </c>
      <c r="Q11" s="14">
        <f>Q4*N11</f>
        <v>13.0682</v>
      </c>
      <c r="R11" s="14">
        <f>R4*N11</f>
        <v>20.1438</v>
      </c>
      <c r="S11" s="8">
        <v>57.0</v>
      </c>
      <c r="T11" s="8">
        <v>3.15</v>
      </c>
      <c r="U11" s="8">
        <v>12.0</v>
      </c>
    </row>
    <row r="12">
      <c r="A12" s="32">
        <v>7.834</v>
      </c>
      <c r="B12" s="33">
        <v>8.0</v>
      </c>
      <c r="C12" s="34">
        <v>11.5</v>
      </c>
      <c r="D12" s="14">
        <f t="shared" si="1"/>
        <v>4.01425728</v>
      </c>
      <c r="E12" s="33">
        <v>4.834</v>
      </c>
      <c r="F12" s="33">
        <v>5.0</v>
      </c>
      <c r="G12" s="35">
        <f t="shared" si="2"/>
        <v>5.888</v>
      </c>
      <c r="H12" s="14">
        <f t="shared" si="3"/>
        <v>0.8028514559</v>
      </c>
      <c r="I12" s="36">
        <f t="shared" si="4"/>
        <v>47438.4164</v>
      </c>
      <c r="J12" s="37">
        <f t="shared" si="5"/>
        <v>77.418</v>
      </c>
      <c r="K12" s="35">
        <f t="shared" si="6"/>
        <v>17869.09777</v>
      </c>
      <c r="L12" s="37">
        <f t="shared" si="7"/>
        <v>35.328</v>
      </c>
      <c r="M12" s="33" t="s">
        <v>72</v>
      </c>
      <c r="N12" s="14"/>
      <c r="O12" s="14"/>
      <c r="P12" s="14"/>
      <c r="Q12" s="14"/>
      <c r="R12" s="14"/>
      <c r="S12" s="14"/>
      <c r="T12" s="14"/>
      <c r="U12" s="14"/>
    </row>
    <row r="13">
      <c r="A13" s="32">
        <v>7.834</v>
      </c>
      <c r="B13" s="33">
        <v>8.0</v>
      </c>
      <c r="C13" s="34">
        <v>12.0</v>
      </c>
      <c r="D13" s="14">
        <f t="shared" si="1"/>
        <v>4.188790205</v>
      </c>
      <c r="E13" s="33">
        <v>4.834</v>
      </c>
      <c r="F13" s="33">
        <v>5.0</v>
      </c>
      <c r="G13" s="35">
        <f t="shared" si="2"/>
        <v>6.144</v>
      </c>
      <c r="H13" s="14">
        <f t="shared" si="3"/>
        <v>0.837758041</v>
      </c>
      <c r="I13" s="36">
        <f t="shared" si="4"/>
        <v>49500.95625</v>
      </c>
      <c r="J13" s="37">
        <f t="shared" si="5"/>
        <v>80.784</v>
      </c>
      <c r="K13" s="35">
        <f t="shared" si="6"/>
        <v>18646.01507</v>
      </c>
      <c r="L13" s="37">
        <f t="shared" si="7"/>
        <v>36.864</v>
      </c>
      <c r="M13" s="33" t="s">
        <v>72</v>
      </c>
      <c r="N13" s="8">
        <v>0.708</v>
      </c>
      <c r="O13" s="14">
        <f>O4*N13</f>
        <v>40.002</v>
      </c>
      <c r="P13" s="14">
        <f>P4*N13</f>
        <v>11.0448</v>
      </c>
      <c r="Q13" s="14">
        <f>Q4*N13</f>
        <v>12.8148</v>
      </c>
      <c r="R13" s="14">
        <f>R4*N13</f>
        <v>19.7532</v>
      </c>
      <c r="S13" s="8">
        <v>57.0</v>
      </c>
      <c r="T13" s="8">
        <v>3.32</v>
      </c>
      <c r="U13" s="8">
        <v>12.0</v>
      </c>
    </row>
    <row r="14">
      <c r="A14" s="32">
        <v>7.834</v>
      </c>
      <c r="B14" s="33">
        <v>8.0</v>
      </c>
      <c r="C14" s="34">
        <v>12.5</v>
      </c>
      <c r="D14" s="14">
        <f t="shared" si="1"/>
        <v>4.36332313</v>
      </c>
      <c r="E14" s="33">
        <v>4.834</v>
      </c>
      <c r="F14" s="33">
        <v>5.0</v>
      </c>
      <c r="G14" s="35">
        <f t="shared" si="2"/>
        <v>6.4</v>
      </c>
      <c r="H14" s="14">
        <f t="shared" si="3"/>
        <v>0.872664626</v>
      </c>
      <c r="I14" s="36">
        <f t="shared" si="4"/>
        <v>51563.49609</v>
      </c>
      <c r="J14" s="37">
        <f t="shared" si="5"/>
        <v>84.15</v>
      </c>
      <c r="K14" s="35">
        <f t="shared" si="6"/>
        <v>19422.93236</v>
      </c>
      <c r="L14" s="37">
        <f t="shared" si="7"/>
        <v>38.4</v>
      </c>
      <c r="M14" s="33" t="s">
        <v>72</v>
      </c>
      <c r="N14" s="14"/>
      <c r="O14" s="14"/>
      <c r="P14" s="14"/>
      <c r="Q14" s="14"/>
      <c r="R14" s="14"/>
      <c r="S14" s="14"/>
      <c r="T14" s="14"/>
      <c r="U14" s="14"/>
    </row>
    <row r="15">
      <c r="A15" s="32">
        <v>7.834</v>
      </c>
      <c r="B15" s="33">
        <v>8.0</v>
      </c>
      <c r="C15" s="34">
        <v>13.0</v>
      </c>
      <c r="D15" s="14">
        <f t="shared" si="1"/>
        <v>4.537856055</v>
      </c>
      <c r="E15" s="33">
        <v>4.834</v>
      </c>
      <c r="F15" s="33">
        <v>5.0</v>
      </c>
      <c r="G15" s="35">
        <f t="shared" si="2"/>
        <v>6.656</v>
      </c>
      <c r="H15" s="14">
        <f t="shared" si="3"/>
        <v>0.907571211</v>
      </c>
      <c r="I15" s="36">
        <f t="shared" si="4"/>
        <v>53626.03593</v>
      </c>
      <c r="J15" s="37">
        <f t="shared" si="5"/>
        <v>87.516</v>
      </c>
      <c r="K15" s="35">
        <f t="shared" si="6"/>
        <v>20199.84965</v>
      </c>
      <c r="L15" s="37">
        <f t="shared" si="7"/>
        <v>39.936</v>
      </c>
      <c r="M15" s="33" t="s">
        <v>72</v>
      </c>
      <c r="N15" s="8">
        <v>0.698</v>
      </c>
      <c r="O15" s="14">
        <f>O4*N15</f>
        <v>39.437</v>
      </c>
      <c r="P15" s="14">
        <f>P4*N15</f>
        <v>10.8888</v>
      </c>
      <c r="Q15" s="14">
        <f>Q4*N15</f>
        <v>12.6338</v>
      </c>
      <c r="R15" s="14">
        <f>R4*N15</f>
        <v>19.4742</v>
      </c>
      <c r="S15" s="8">
        <v>57.0</v>
      </c>
      <c r="T15" s="8">
        <v>3.51</v>
      </c>
      <c r="U15" s="8">
        <v>12.0</v>
      </c>
    </row>
    <row r="16">
      <c r="A16" s="32">
        <v>7.834</v>
      </c>
      <c r="B16" s="33">
        <v>8.0</v>
      </c>
      <c r="C16" s="34">
        <v>13.5</v>
      </c>
      <c r="D16" s="14">
        <f t="shared" si="1"/>
        <v>4.71238898</v>
      </c>
      <c r="E16" s="33">
        <v>4.834</v>
      </c>
      <c r="F16" s="33">
        <v>5.0</v>
      </c>
      <c r="G16" s="35">
        <f t="shared" si="2"/>
        <v>6.912</v>
      </c>
      <c r="H16" s="14">
        <f t="shared" si="3"/>
        <v>0.9424777961</v>
      </c>
      <c r="I16" s="36">
        <f t="shared" si="4"/>
        <v>55688.57578</v>
      </c>
      <c r="J16" s="37">
        <f t="shared" si="5"/>
        <v>90.882</v>
      </c>
      <c r="K16" s="35">
        <f t="shared" si="6"/>
        <v>20976.76695</v>
      </c>
      <c r="L16" s="37">
        <f t="shared" si="7"/>
        <v>41.472</v>
      </c>
      <c r="M16" s="33" t="s">
        <v>72</v>
      </c>
      <c r="N16" s="14"/>
      <c r="O16" s="14"/>
      <c r="P16" s="14"/>
      <c r="Q16" s="14"/>
      <c r="R16" s="14"/>
      <c r="S16" s="14"/>
      <c r="T16" s="14"/>
      <c r="U16" s="14"/>
    </row>
    <row r="17">
      <c r="A17" s="32">
        <v>7.834</v>
      </c>
      <c r="B17" s="33">
        <v>8.0</v>
      </c>
      <c r="C17" s="34">
        <v>14.0</v>
      </c>
      <c r="D17" s="14">
        <f t="shared" si="1"/>
        <v>4.886921906</v>
      </c>
      <c r="E17" s="33">
        <v>4.834</v>
      </c>
      <c r="F17" s="33">
        <v>5.0</v>
      </c>
      <c r="G17" s="35">
        <f t="shared" si="2"/>
        <v>7.168</v>
      </c>
      <c r="H17" s="14">
        <f t="shared" si="3"/>
        <v>0.9773843811</v>
      </c>
      <c r="I17" s="36">
        <f t="shared" si="4"/>
        <v>57751.11562</v>
      </c>
      <c r="J17" s="37">
        <f t="shared" si="5"/>
        <v>94.248</v>
      </c>
      <c r="K17" s="35">
        <f t="shared" si="6"/>
        <v>21753.68424</v>
      </c>
      <c r="L17" s="37">
        <f t="shared" si="7"/>
        <v>43.008</v>
      </c>
      <c r="M17" s="33" t="s">
        <v>72</v>
      </c>
      <c r="N17" s="8">
        <v>0.688</v>
      </c>
      <c r="O17" s="14">
        <f>O4*N17</f>
        <v>38.872</v>
      </c>
      <c r="P17" s="14">
        <f>P4*N17</f>
        <v>10.7328</v>
      </c>
      <c r="Q17" s="14">
        <f>Q4*N17</f>
        <v>12.4528</v>
      </c>
      <c r="R17" s="14">
        <f>R4*N17</f>
        <v>19.1952</v>
      </c>
      <c r="S17" s="8">
        <v>57.0</v>
      </c>
      <c r="T17" s="8">
        <v>3.69</v>
      </c>
      <c r="U17" s="8">
        <v>12.0</v>
      </c>
    </row>
    <row r="18">
      <c r="A18" s="32">
        <v>7.834</v>
      </c>
      <c r="B18" s="33">
        <v>8.0</v>
      </c>
      <c r="C18" s="34">
        <v>14.5</v>
      </c>
      <c r="D18" s="14">
        <f t="shared" si="1"/>
        <v>5.061454831</v>
      </c>
      <c r="E18" s="33">
        <v>4.834</v>
      </c>
      <c r="F18" s="33">
        <v>5.0</v>
      </c>
      <c r="G18" s="35">
        <f t="shared" si="2"/>
        <v>7.424</v>
      </c>
      <c r="H18" s="14">
        <f t="shared" si="3"/>
        <v>1.012290966</v>
      </c>
      <c r="I18" s="36">
        <f t="shared" si="4"/>
        <v>59813.65546</v>
      </c>
      <c r="J18" s="37">
        <f t="shared" si="5"/>
        <v>97.614</v>
      </c>
      <c r="K18" s="35">
        <f t="shared" si="6"/>
        <v>22530.60154</v>
      </c>
      <c r="L18" s="37">
        <f t="shared" si="7"/>
        <v>44.544</v>
      </c>
      <c r="M18" s="33" t="s">
        <v>72</v>
      </c>
      <c r="N18" s="14"/>
      <c r="O18" s="14"/>
      <c r="P18" s="14"/>
      <c r="Q18" s="14"/>
      <c r="R18" s="14"/>
      <c r="S18" s="14"/>
      <c r="T18" s="14"/>
      <c r="U18" s="14"/>
    </row>
    <row r="19">
      <c r="A19" s="32">
        <v>7.834</v>
      </c>
      <c r="B19" s="33">
        <v>8.0</v>
      </c>
      <c r="C19" s="34">
        <v>15.0</v>
      </c>
      <c r="D19" s="14">
        <f t="shared" si="1"/>
        <v>5.235987756</v>
      </c>
      <c r="E19" s="33">
        <v>4.834</v>
      </c>
      <c r="F19" s="33">
        <v>5.0</v>
      </c>
      <c r="G19" s="35">
        <f t="shared" si="2"/>
        <v>7.68</v>
      </c>
      <c r="H19" s="14">
        <f t="shared" si="3"/>
        <v>1.047197551</v>
      </c>
      <c r="I19" s="36">
        <f t="shared" si="4"/>
        <v>61876.19531</v>
      </c>
      <c r="J19" s="37">
        <f t="shared" si="5"/>
        <v>100.98</v>
      </c>
      <c r="K19" s="35">
        <f t="shared" si="6"/>
        <v>23307.51883</v>
      </c>
      <c r="L19" s="37">
        <f t="shared" si="7"/>
        <v>46.08</v>
      </c>
      <c r="M19" s="33" t="s">
        <v>72</v>
      </c>
      <c r="N19" s="8">
        <v>0.679</v>
      </c>
      <c r="O19" s="14">
        <f>O4*N19</f>
        <v>38.3635</v>
      </c>
      <c r="P19" s="14">
        <f>P4*N19</f>
        <v>10.5924</v>
      </c>
      <c r="Q19" s="14">
        <f>Q4*N19</f>
        <v>12.2899</v>
      </c>
      <c r="R19" s="14">
        <f>R4*N19</f>
        <v>18.9441</v>
      </c>
      <c r="S19" s="8">
        <v>57.0</v>
      </c>
      <c r="T19" s="8">
        <v>3.85</v>
      </c>
      <c r="U19" s="8">
        <v>12.0</v>
      </c>
    </row>
    <row r="20">
      <c r="A20" s="32">
        <v>7.834</v>
      </c>
      <c r="B20" s="33">
        <v>8.0</v>
      </c>
      <c r="C20" s="34">
        <v>15.5</v>
      </c>
      <c r="D20" s="14">
        <f t="shared" si="1"/>
        <v>5.410520681</v>
      </c>
      <c r="E20" s="33">
        <v>4.834</v>
      </c>
      <c r="F20" s="33">
        <v>5.0</v>
      </c>
      <c r="G20" s="35">
        <f t="shared" si="2"/>
        <v>7.936</v>
      </c>
      <c r="H20" s="14">
        <f t="shared" si="3"/>
        <v>1.082104136</v>
      </c>
      <c r="I20" s="36">
        <f t="shared" si="4"/>
        <v>63938.73515</v>
      </c>
      <c r="J20" s="37">
        <f t="shared" si="5"/>
        <v>104.346</v>
      </c>
      <c r="K20" s="35">
        <f t="shared" si="6"/>
        <v>24084.43613</v>
      </c>
      <c r="L20" s="37">
        <f t="shared" si="7"/>
        <v>47.616</v>
      </c>
      <c r="M20" s="33" t="s">
        <v>72</v>
      </c>
      <c r="N20" s="14"/>
      <c r="O20" s="14"/>
      <c r="P20" s="14"/>
      <c r="Q20" s="14"/>
      <c r="R20" s="14"/>
      <c r="S20" s="14"/>
      <c r="T20" s="14"/>
      <c r="U20" s="14"/>
    </row>
    <row r="21">
      <c r="A21" s="32">
        <v>7.834</v>
      </c>
      <c r="B21" s="33">
        <v>8.0</v>
      </c>
      <c r="C21" s="34">
        <v>16.0</v>
      </c>
      <c r="D21" s="14">
        <f t="shared" si="1"/>
        <v>5.585053606</v>
      </c>
      <c r="E21" s="33">
        <v>4.834</v>
      </c>
      <c r="F21" s="33">
        <v>5.0</v>
      </c>
      <c r="G21" s="35">
        <f t="shared" si="2"/>
        <v>8.192</v>
      </c>
      <c r="H21" s="14">
        <f t="shared" si="3"/>
        <v>1.117010721</v>
      </c>
      <c r="I21" s="36">
        <f t="shared" si="4"/>
        <v>66001.27499</v>
      </c>
      <c r="J21" s="37">
        <f t="shared" si="5"/>
        <v>107.712</v>
      </c>
      <c r="K21" s="35">
        <f t="shared" si="6"/>
        <v>24861.35342</v>
      </c>
      <c r="L21" s="37">
        <f t="shared" si="7"/>
        <v>49.152</v>
      </c>
      <c r="M21" s="33" t="s">
        <v>72</v>
      </c>
      <c r="N21" s="8">
        <v>0.672</v>
      </c>
      <c r="O21" s="14">
        <f>O4*N21</f>
        <v>37.968</v>
      </c>
      <c r="P21" s="14">
        <f>P4*N21</f>
        <v>10.4832</v>
      </c>
      <c r="Q21" s="14">
        <f>Q4*N21</f>
        <v>12.1632</v>
      </c>
      <c r="R21" s="14">
        <f>R4*N21</f>
        <v>18.7488</v>
      </c>
      <c r="S21" s="8">
        <v>57.0</v>
      </c>
      <c r="T21" s="8">
        <v>4.03</v>
      </c>
      <c r="U21" s="8">
        <v>12.0</v>
      </c>
    </row>
    <row r="22">
      <c r="A22" s="32">
        <v>7.834</v>
      </c>
      <c r="B22" s="33">
        <v>8.0</v>
      </c>
      <c r="C22" s="34">
        <v>16.5</v>
      </c>
      <c r="D22" s="14">
        <f t="shared" si="1"/>
        <v>5.759586532</v>
      </c>
      <c r="E22" s="33">
        <v>4.834</v>
      </c>
      <c r="F22" s="33">
        <v>5.0</v>
      </c>
      <c r="G22" s="35">
        <f t="shared" si="2"/>
        <v>8.448</v>
      </c>
      <c r="H22" s="14">
        <f t="shared" si="3"/>
        <v>1.151917306</v>
      </c>
      <c r="I22" s="36">
        <f t="shared" si="4"/>
        <v>68063.81484</v>
      </c>
      <c r="J22" s="37">
        <f t="shared" si="5"/>
        <v>111.078</v>
      </c>
      <c r="K22" s="35">
        <f t="shared" si="6"/>
        <v>25638.27072</v>
      </c>
      <c r="L22" s="37">
        <f t="shared" si="7"/>
        <v>50.688</v>
      </c>
      <c r="M22" s="33" t="s">
        <v>72</v>
      </c>
      <c r="N22" s="14"/>
      <c r="O22" s="14"/>
      <c r="P22" s="14"/>
      <c r="Q22" s="14"/>
      <c r="R22" s="14"/>
      <c r="S22" s="14"/>
      <c r="T22" s="14"/>
      <c r="U22" s="14"/>
    </row>
    <row r="23">
      <c r="A23" s="32">
        <v>7.834</v>
      </c>
      <c r="B23" s="33">
        <v>8.0</v>
      </c>
      <c r="C23" s="34">
        <v>17.0</v>
      </c>
      <c r="D23" s="14">
        <f t="shared" si="1"/>
        <v>5.934119457</v>
      </c>
      <c r="E23" s="33">
        <v>4.834</v>
      </c>
      <c r="F23" s="33">
        <v>5.0</v>
      </c>
      <c r="G23" s="35">
        <f t="shared" si="2"/>
        <v>8.704</v>
      </c>
      <c r="H23" s="14">
        <f t="shared" si="3"/>
        <v>1.186823891</v>
      </c>
      <c r="I23" s="36">
        <f t="shared" si="4"/>
        <v>70126.35468</v>
      </c>
      <c r="J23" s="37">
        <f t="shared" si="5"/>
        <v>114.444</v>
      </c>
      <c r="K23" s="35">
        <f t="shared" si="6"/>
        <v>26415.18801</v>
      </c>
      <c r="L23" s="37">
        <f t="shared" si="7"/>
        <v>52.224</v>
      </c>
      <c r="M23" s="33" t="s">
        <v>72</v>
      </c>
      <c r="N23" s="8">
        <v>0.667</v>
      </c>
      <c r="O23" s="14">
        <f>O4*N23</f>
        <v>37.6855</v>
      </c>
      <c r="P23" s="14">
        <f>P4*N23</f>
        <v>10.4052</v>
      </c>
      <c r="Q23" s="14">
        <f>Q4*N23</f>
        <v>12.0727</v>
      </c>
      <c r="R23" s="14">
        <f>R4*N23</f>
        <v>18.6093</v>
      </c>
      <c r="S23" s="8">
        <v>57.0</v>
      </c>
      <c r="T23" s="8">
        <v>4.23</v>
      </c>
      <c r="U23" s="8">
        <v>12.0</v>
      </c>
    </row>
    <row r="24">
      <c r="A24" s="32">
        <v>7.834</v>
      </c>
      <c r="B24" s="33">
        <v>8.0</v>
      </c>
      <c r="C24" s="34">
        <v>17.5</v>
      </c>
      <c r="D24" s="14">
        <f t="shared" si="1"/>
        <v>6.108652382</v>
      </c>
      <c r="E24" s="33">
        <v>4.834</v>
      </c>
      <c r="F24" s="33">
        <v>5.0</v>
      </c>
      <c r="G24" s="35">
        <f t="shared" si="2"/>
        <v>8.96</v>
      </c>
      <c r="H24" s="14">
        <f t="shared" si="3"/>
        <v>1.221730476</v>
      </c>
      <c r="I24" s="36">
        <f t="shared" si="4"/>
        <v>72188.89452</v>
      </c>
      <c r="J24" s="37">
        <f t="shared" si="5"/>
        <v>117.81</v>
      </c>
      <c r="K24" s="35">
        <f t="shared" si="6"/>
        <v>27192.1053</v>
      </c>
      <c r="L24" s="37">
        <f t="shared" si="7"/>
        <v>53.76</v>
      </c>
      <c r="M24" s="33" t="s">
        <v>72</v>
      </c>
      <c r="N24" s="14"/>
      <c r="O24" s="14"/>
      <c r="P24" s="14"/>
      <c r="Q24" s="14"/>
      <c r="R24" s="14"/>
      <c r="S24" s="14"/>
      <c r="T24" s="14"/>
      <c r="U24" s="14"/>
    </row>
    <row r="25">
      <c r="A25" s="32">
        <v>7.834</v>
      </c>
      <c r="B25" s="33">
        <v>8.0</v>
      </c>
      <c r="C25" s="34">
        <v>18.0</v>
      </c>
      <c r="D25" s="14">
        <f t="shared" si="1"/>
        <v>6.283185307</v>
      </c>
      <c r="E25" s="33">
        <v>4.834</v>
      </c>
      <c r="F25" s="33">
        <v>5.0</v>
      </c>
      <c r="G25" s="35">
        <f t="shared" si="2"/>
        <v>9.216</v>
      </c>
      <c r="H25" s="14">
        <f t="shared" si="3"/>
        <v>1.256637061</v>
      </c>
      <c r="I25" s="36">
        <f t="shared" si="4"/>
        <v>74251.43437</v>
      </c>
      <c r="J25" s="37">
        <f t="shared" si="5"/>
        <v>121.176</v>
      </c>
      <c r="K25" s="35">
        <f t="shared" si="6"/>
        <v>27969.0226</v>
      </c>
      <c r="L25" s="37">
        <f t="shared" si="7"/>
        <v>55.296</v>
      </c>
      <c r="M25" s="33" t="s">
        <v>72</v>
      </c>
      <c r="N25" s="8">
        <v>0.662</v>
      </c>
      <c r="O25" s="14">
        <f>O4*N25</f>
        <v>37.403</v>
      </c>
      <c r="P25" s="14">
        <f>P4*N25</f>
        <v>10.3272</v>
      </c>
      <c r="Q25" s="14">
        <f>Q4*N25</f>
        <v>11.9822</v>
      </c>
      <c r="R25" s="14">
        <f>R4*N25</f>
        <v>18.4698</v>
      </c>
      <c r="S25" s="8">
        <v>57.0</v>
      </c>
      <c r="T25" s="8">
        <v>4.42</v>
      </c>
      <c r="U25" s="8">
        <v>12.0</v>
      </c>
    </row>
    <row r="26">
      <c r="A26" s="32">
        <v>7.834</v>
      </c>
      <c r="B26" s="33">
        <v>8.0</v>
      </c>
      <c r="C26" s="34">
        <v>18.5</v>
      </c>
      <c r="D26" s="14">
        <f t="shared" si="1"/>
        <v>6.457718232</v>
      </c>
      <c r="E26" s="33">
        <v>4.834</v>
      </c>
      <c r="F26" s="33">
        <v>5.0</v>
      </c>
      <c r="G26" s="35">
        <f t="shared" si="2"/>
        <v>9.472</v>
      </c>
      <c r="H26" s="14">
        <f t="shared" si="3"/>
        <v>1.291543646</v>
      </c>
      <c r="I26" s="36">
        <f t="shared" si="4"/>
        <v>76313.97421</v>
      </c>
      <c r="J26" s="37">
        <f t="shared" si="5"/>
        <v>124.542</v>
      </c>
      <c r="K26" s="35">
        <f t="shared" si="6"/>
        <v>28745.93989</v>
      </c>
      <c r="L26" s="37">
        <f t="shared" si="7"/>
        <v>56.832</v>
      </c>
      <c r="M26" s="33" t="s">
        <v>72</v>
      </c>
      <c r="N26" s="14"/>
      <c r="O26" s="14"/>
      <c r="P26" s="14"/>
      <c r="Q26" s="14"/>
      <c r="R26" s="14"/>
      <c r="S26" s="14"/>
      <c r="T26" s="14"/>
      <c r="U26" s="14"/>
    </row>
    <row r="27">
      <c r="A27" s="32">
        <v>7.834</v>
      </c>
      <c r="B27" s="33">
        <v>8.0</v>
      </c>
      <c r="C27" s="34">
        <v>19.0</v>
      </c>
      <c r="D27" s="14">
        <f t="shared" si="1"/>
        <v>6.632251158</v>
      </c>
      <c r="E27" s="33">
        <v>4.834</v>
      </c>
      <c r="F27" s="33">
        <v>5.0</v>
      </c>
      <c r="G27" s="35">
        <f t="shared" si="2"/>
        <v>9.728</v>
      </c>
      <c r="H27" s="14">
        <f t="shared" si="3"/>
        <v>1.326450232</v>
      </c>
      <c r="I27" s="36">
        <f t="shared" si="4"/>
        <v>78376.51405</v>
      </c>
      <c r="J27" s="37">
        <f t="shared" si="5"/>
        <v>127.908</v>
      </c>
      <c r="K27" s="35">
        <f t="shared" si="6"/>
        <v>29522.85719</v>
      </c>
      <c r="L27" s="37">
        <f t="shared" si="7"/>
        <v>58.368</v>
      </c>
      <c r="M27" s="33" t="s">
        <v>72</v>
      </c>
      <c r="N27" s="8">
        <v>0.656</v>
      </c>
      <c r="O27" s="14">
        <f>O4*N27</f>
        <v>37.064</v>
      </c>
      <c r="P27" s="14">
        <f>P4*N27</f>
        <v>10.2336</v>
      </c>
      <c r="Q27" s="14">
        <f>Q4*N27</f>
        <v>11.8736</v>
      </c>
      <c r="R27" s="14">
        <f>R4*N27</f>
        <v>18.3024</v>
      </c>
      <c r="S27" s="8">
        <v>57.0</v>
      </c>
      <c r="T27" s="8">
        <v>4.58</v>
      </c>
      <c r="U27" s="8">
        <v>12.0</v>
      </c>
    </row>
    <row r="28">
      <c r="A28" s="32">
        <v>7.834</v>
      </c>
      <c r="B28" s="33">
        <v>8.0</v>
      </c>
      <c r="C28" s="34">
        <v>19.5</v>
      </c>
      <c r="D28" s="14">
        <f t="shared" si="1"/>
        <v>6.806784083</v>
      </c>
      <c r="E28" s="33">
        <v>4.834</v>
      </c>
      <c r="F28" s="33">
        <v>5.0</v>
      </c>
      <c r="G28" s="35">
        <f t="shared" si="2"/>
        <v>9.984</v>
      </c>
      <c r="H28" s="14">
        <f t="shared" si="3"/>
        <v>1.361356817</v>
      </c>
      <c r="I28" s="36">
        <f t="shared" si="4"/>
        <v>80439.0539</v>
      </c>
      <c r="J28" s="37">
        <f t="shared" si="5"/>
        <v>131.274</v>
      </c>
      <c r="K28" s="35">
        <f t="shared" si="6"/>
        <v>30299.77448</v>
      </c>
      <c r="L28" s="37">
        <f t="shared" si="7"/>
        <v>59.904</v>
      </c>
      <c r="M28" s="33" t="s">
        <v>72</v>
      </c>
      <c r="N28" s="14"/>
      <c r="O28" s="14"/>
      <c r="P28" s="14"/>
      <c r="Q28" s="14"/>
      <c r="R28" s="14"/>
      <c r="S28" s="14"/>
      <c r="T28" s="14"/>
      <c r="U28" s="14"/>
    </row>
    <row r="29">
      <c r="A29" s="32">
        <v>7.834</v>
      </c>
      <c r="B29" s="33">
        <v>8.0</v>
      </c>
      <c r="C29" s="34">
        <v>20.0</v>
      </c>
      <c r="D29" s="14">
        <f t="shared" si="1"/>
        <v>6.981317008</v>
      </c>
      <c r="E29" s="33">
        <v>4.834</v>
      </c>
      <c r="F29" s="33">
        <v>5.0</v>
      </c>
      <c r="G29" s="35">
        <f t="shared" si="2"/>
        <v>10.24</v>
      </c>
      <c r="H29" s="14">
        <f t="shared" si="3"/>
        <v>1.396263402</v>
      </c>
      <c r="I29" s="36">
        <f t="shared" si="4"/>
        <v>82501.59374</v>
      </c>
      <c r="J29" s="37">
        <f t="shared" si="5"/>
        <v>134.64</v>
      </c>
      <c r="K29" s="35">
        <f t="shared" si="6"/>
        <v>31076.69178</v>
      </c>
      <c r="L29" s="37">
        <f t="shared" si="7"/>
        <v>61.44</v>
      </c>
      <c r="M29" s="33" t="s">
        <v>72</v>
      </c>
      <c r="N29" s="8">
        <v>0.651</v>
      </c>
      <c r="O29" s="14">
        <f>O4*N29</f>
        <v>36.7815</v>
      </c>
      <c r="P29" s="14">
        <f>P4*N29</f>
        <v>10.1556</v>
      </c>
      <c r="Q29" s="14">
        <f>Q4*N29</f>
        <v>11.7831</v>
      </c>
      <c r="R29" s="14">
        <f>R4*N29</f>
        <v>18.1629</v>
      </c>
      <c r="S29" s="8">
        <v>57.0</v>
      </c>
      <c r="T29" s="8">
        <v>4.75</v>
      </c>
      <c r="U29" s="8">
        <v>12.0</v>
      </c>
    </row>
    <row r="30">
      <c r="A30" s="32">
        <v>7.834</v>
      </c>
      <c r="B30" s="33">
        <v>8.0</v>
      </c>
      <c r="C30" s="34">
        <v>6.0</v>
      </c>
      <c r="D30" s="14">
        <f t="shared" si="1"/>
        <v>2.094395102</v>
      </c>
      <c r="E30" s="33">
        <v>4.834</v>
      </c>
      <c r="F30" s="33">
        <v>5.0</v>
      </c>
      <c r="G30" s="38">
        <v>3.0</v>
      </c>
      <c r="H30" s="14">
        <f>3*PI()*(F30/24)^2</f>
        <v>0.4090615434</v>
      </c>
      <c r="I30" s="36">
        <f t="shared" si="4"/>
        <v>24895.50046</v>
      </c>
      <c r="J30" s="37">
        <f t="shared" si="5"/>
        <v>40.36893204</v>
      </c>
      <c r="K30" s="35">
        <f t="shared" si="6"/>
        <v>9104.499544</v>
      </c>
      <c r="L30" s="37">
        <f t="shared" si="7"/>
        <v>18</v>
      </c>
      <c r="M30" s="29" t="s">
        <v>73</v>
      </c>
    </row>
  </sheetData>
  <mergeCells count="9">
    <mergeCell ref="M2:S2"/>
    <mergeCell ref="M30:U30"/>
    <mergeCell ref="A1:U1"/>
    <mergeCell ref="A2:D2"/>
    <mergeCell ref="E2:H2"/>
    <mergeCell ref="I2:J2"/>
    <mergeCell ref="K2:L2"/>
    <mergeCell ref="T2:U2"/>
    <mergeCell ref="A4:L4"/>
  </mergeCells>
  <drawing r:id="rId4"/>
  <legacyDrawing r:id="rId5"/>
</worksheet>
</file>